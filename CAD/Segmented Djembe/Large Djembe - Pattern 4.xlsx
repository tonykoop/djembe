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13CC1B73-A9E7-47DD-AE90-46A404B78943}" xr6:coauthVersionLast="47" xr6:coauthVersionMax="47" xr10:uidLastSave="{00000000-0000-0000-0000-000000000000}"/>
  <bookViews>
    <workbookView xWindow="10530" yWindow="720" windowWidth="27740" windowHeight="20280" xr2:uid="{00000000-000D-0000-FFFF-FFFF00000000}"/>
  </bookViews>
  <sheets>
    <sheet name="Sheet1" sheetId="1" r:id="rId1"/>
  </sheets>
  <definedNames>
    <definedName name="_xlnm.Print_Area" localSheetId="0">Sheet1!$A$1:$Q$36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" l="1"/>
  <c r="H35" i="1"/>
  <c r="H34" i="1"/>
  <c r="H33" i="1"/>
  <c r="H32" i="1"/>
  <c r="V32" i="1"/>
  <c r="W32" i="1"/>
  <c r="X32" i="1"/>
  <c r="U32" i="1"/>
  <c r="U5" i="1"/>
  <c r="V5" i="1"/>
  <c r="W5" i="1"/>
  <c r="X5" i="1"/>
  <c r="U6" i="1"/>
  <c r="V6" i="1"/>
  <c r="W6" i="1"/>
  <c r="X6" i="1"/>
  <c r="U7" i="1"/>
  <c r="V7" i="1"/>
  <c r="W7" i="1"/>
  <c r="X7" i="1"/>
  <c r="U8" i="1"/>
  <c r="V8" i="1"/>
  <c r="W8" i="1"/>
  <c r="X8" i="1"/>
  <c r="U9" i="1"/>
  <c r="V9" i="1"/>
  <c r="W9" i="1"/>
  <c r="X9" i="1"/>
  <c r="U10" i="1"/>
  <c r="V10" i="1"/>
  <c r="W10" i="1"/>
  <c r="X10" i="1"/>
  <c r="U11" i="1"/>
  <c r="V11" i="1"/>
  <c r="W11" i="1"/>
  <c r="X11" i="1"/>
  <c r="U12" i="1"/>
  <c r="V12" i="1"/>
  <c r="W12" i="1"/>
  <c r="X12" i="1"/>
  <c r="U13" i="1"/>
  <c r="V13" i="1"/>
  <c r="W13" i="1"/>
  <c r="X13" i="1"/>
  <c r="U14" i="1"/>
  <c r="V14" i="1"/>
  <c r="W14" i="1"/>
  <c r="X14" i="1"/>
  <c r="U15" i="1"/>
  <c r="V15" i="1"/>
  <c r="W15" i="1"/>
  <c r="X15" i="1"/>
  <c r="U16" i="1"/>
  <c r="V16" i="1"/>
  <c r="W16" i="1"/>
  <c r="X16" i="1"/>
  <c r="U17" i="1"/>
  <c r="V17" i="1"/>
  <c r="W17" i="1"/>
  <c r="X17" i="1"/>
  <c r="U18" i="1"/>
  <c r="V18" i="1"/>
  <c r="W18" i="1"/>
  <c r="X18" i="1"/>
  <c r="U19" i="1"/>
  <c r="V19" i="1"/>
  <c r="W19" i="1"/>
  <c r="X19" i="1"/>
  <c r="U20" i="1"/>
  <c r="V20" i="1"/>
  <c r="W20" i="1"/>
  <c r="X20" i="1"/>
  <c r="U21" i="1"/>
  <c r="V21" i="1"/>
  <c r="W21" i="1"/>
  <c r="X21" i="1"/>
  <c r="U22" i="1"/>
  <c r="V22" i="1"/>
  <c r="W22" i="1"/>
  <c r="X22" i="1"/>
  <c r="U23" i="1"/>
  <c r="V23" i="1"/>
  <c r="W23" i="1"/>
  <c r="X23" i="1"/>
  <c r="U24" i="1"/>
  <c r="V24" i="1"/>
  <c r="W24" i="1"/>
  <c r="X24" i="1"/>
  <c r="U25" i="1"/>
  <c r="V25" i="1"/>
  <c r="W25" i="1"/>
  <c r="X25" i="1"/>
  <c r="U26" i="1"/>
  <c r="V26" i="1"/>
  <c r="W26" i="1"/>
  <c r="X26" i="1"/>
  <c r="U27" i="1"/>
  <c r="V27" i="1"/>
  <c r="W27" i="1"/>
  <c r="X27" i="1"/>
  <c r="U28" i="1"/>
  <c r="V28" i="1"/>
  <c r="W28" i="1"/>
  <c r="X28" i="1"/>
  <c r="U29" i="1"/>
  <c r="V29" i="1"/>
  <c r="W29" i="1"/>
  <c r="X29" i="1"/>
  <c r="U30" i="1"/>
  <c r="V30" i="1"/>
  <c r="W30" i="1"/>
  <c r="X30" i="1"/>
  <c r="U31" i="1"/>
  <c r="V31" i="1"/>
  <c r="W31" i="1"/>
  <c r="X31" i="1"/>
  <c r="X4" i="1"/>
  <c r="W4" i="1"/>
  <c r="V4" i="1"/>
  <c r="U4" i="1"/>
  <c r="D35" i="1"/>
  <c r="D34" i="1"/>
  <c r="D33" i="1"/>
  <c r="D32" i="1"/>
</calcChain>
</file>

<file path=xl/sharedStrings.xml><?xml version="1.0" encoding="utf-8"?>
<sst xmlns="http://schemas.openxmlformats.org/spreadsheetml/2006/main" count="69" uniqueCount="57">
  <si>
    <t>Row</t>
  </si>
  <si>
    <t>Board</t>
  </si>
  <si>
    <t>Width</t>
  </si>
  <si>
    <t>Length</t>
  </si>
  <si>
    <t>Segment</t>
  </si>
  <si>
    <t>S.E.L.</t>
  </si>
  <si>
    <t>Species</t>
  </si>
  <si>
    <t>Walnut</t>
  </si>
  <si>
    <t>Diameter</t>
  </si>
  <si>
    <t>Outer</t>
  </si>
  <si>
    <t>9"</t>
  </si>
  <si>
    <t>8.8"</t>
  </si>
  <si>
    <t>8.6"</t>
  </si>
  <si>
    <t>8.3"</t>
  </si>
  <si>
    <t>8.1"</t>
  </si>
  <si>
    <t>7.9"</t>
  </si>
  <si>
    <t>7.7"</t>
  </si>
  <si>
    <t>7.5"</t>
  </si>
  <si>
    <t>7.3"</t>
  </si>
  <si>
    <t>7.1"</t>
  </si>
  <si>
    <t>6.9"</t>
  </si>
  <si>
    <t>6.7"</t>
  </si>
  <si>
    <t>6.5"</t>
  </si>
  <si>
    <t>7"</t>
  </si>
  <si>
    <t>9.2"</t>
  </si>
  <si>
    <t>10.6"</t>
  </si>
  <si>
    <t>11.6"</t>
  </si>
  <si>
    <t>12.3"</t>
  </si>
  <si>
    <t>12.4"</t>
  </si>
  <si>
    <t>12.5"</t>
  </si>
  <si>
    <t>12.6"</t>
  </si>
  <si>
    <t>12.7"</t>
  </si>
  <si>
    <t>12.8"</t>
  </si>
  <si>
    <t>Maple</t>
  </si>
  <si>
    <t>Large Segmented Ashiko: 448 Pieces</t>
  </si>
  <si>
    <t>Segments per Ring: 16</t>
  </si>
  <si>
    <t>Ring Thickness: 0.875</t>
  </si>
  <si>
    <t>Angle: 11.25</t>
  </si>
  <si>
    <t>Padauk</t>
  </si>
  <si>
    <t>Strip</t>
  </si>
  <si>
    <t>Yellow</t>
  </si>
  <si>
    <t>Segments of Maple</t>
  </si>
  <si>
    <t>Segments of Walnut</t>
  </si>
  <si>
    <t>Segments of Padauk</t>
  </si>
  <si>
    <t>Segments of Yellow</t>
  </si>
  <si>
    <t>Total # of Pieces:</t>
  </si>
  <si>
    <t>16*28 =</t>
  </si>
  <si>
    <t>Bd Ft of Maple</t>
  </si>
  <si>
    <t>Bd Ft of Walnut</t>
  </si>
  <si>
    <t>Bd Ft of Padauk</t>
  </si>
  <si>
    <t>Bd Ft of Yellow</t>
  </si>
  <si>
    <t>Area Maple</t>
  </si>
  <si>
    <t>Area Walnut</t>
  </si>
  <si>
    <t>Area Padauk</t>
  </si>
  <si>
    <t>Area Yellow</t>
  </si>
  <si>
    <t>Total Board Feet</t>
  </si>
  <si>
    <t>Dimensions: 24.5" Tall x 12.8" Diameter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</si>
</sst>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left"/>
    </xf>
    <xf numFmtId="0" fontId="0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25400</xdr:colOff>
      <xdr:row>2</xdr:row>
      <xdr:rowOff>31750</xdr:rowOff>
    </xdr:from>
    <xdr:to>
      <xdr:col>17</xdr:col>
      <xdr:colOff>209693</xdr:colOff>
      <xdr:row>26</xdr:row>
      <xdr:rowOff>31977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E76740-3AC2-4F17-BBBA-19CC41082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400050"/>
          <a:ext cx="2775093" cy="4419827"/>
        </a:xfrm>
        <a:prstGeom prst="rect">
          <a:avLst/>
        </a:prstGeom>
      </xdr:spPr>
    </xdr:pic>
    <xdr:clientData/>
  </xdr:twoCellAnchor>
  <xdr:twoCellAnchor editAs="oneCell">
    <xdr:from>
      <xdr:col>13</xdr:col>
      <xdr:colOff>222250</xdr:colOff>
      <xdr:row>26</xdr:row>
      <xdr:rowOff>88900</xdr:rowOff>
    </xdr:from>
    <xdr:to>
      <xdr:col>16</xdr:col>
      <xdr:colOff>296712</xdr:colOff>
      <xdr:row>32</xdr:row>
      <xdr:rowOff>142847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AB4D3D75-4B1B-4251-A5EE-7D2609BB1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369050" y="4876800"/>
          <a:ext cx="2017562" cy="1158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8"/>
  <sheetViews>
    <sheetView tabSelected="1" workbookViewId="0">
      <selection activeCell="A32" sqref="A32:I36"/>
    </sheetView>
  </sheetViews>
  <sheetFormatPr defaultColWidth="9.26953125" defaultRowHeight="14.5" x14ac:dyDescent="0.35"/>
  <cols>
    <col min="1" max="1" width="4.08984375" customWidth="1"/>
    <col min="2" max="2" width="6.08984375" customWidth="1"/>
    <col min="4" max="4" width="8" bestFit="1" customWidth="1"/>
    <col min="5" max="5" width="8.54296875" bestFit="1" customWidth="1"/>
    <col min="6" max="6" width="6.81640625" customWidth="1"/>
    <col min="7" max="7" width="6.36328125" bestFit="1" customWidth="1"/>
    <col min="8" max="8" width="6.7265625" customWidth="1"/>
    <col min="9" max="9" width="6.36328125" bestFit="1" customWidth="1"/>
    <col min="10" max="10" width="6.90625" bestFit="1" customWidth="1"/>
    <col min="11" max="11" width="6.1796875" customWidth="1"/>
    <col min="12" max="12" width="6.26953125" bestFit="1" customWidth="1"/>
    <col min="13" max="13" width="6.36328125" bestFit="1" customWidth="1"/>
  </cols>
  <sheetData>
    <row r="1" spans="1:24" x14ac:dyDescent="0.35">
      <c r="A1" s="1" t="s">
        <v>34</v>
      </c>
      <c r="F1" s="2" t="s">
        <v>35</v>
      </c>
      <c r="I1" s="2" t="s">
        <v>36</v>
      </c>
      <c r="L1" s="2" t="s">
        <v>37</v>
      </c>
    </row>
    <row r="2" spans="1:24" x14ac:dyDescent="0.35">
      <c r="A2" s="5"/>
      <c r="B2" s="5" t="s">
        <v>1</v>
      </c>
      <c r="C2" s="5"/>
      <c r="D2" s="5" t="s">
        <v>4</v>
      </c>
      <c r="E2" s="5" t="s">
        <v>8</v>
      </c>
      <c r="F2" s="5" t="s">
        <v>6</v>
      </c>
      <c r="G2" s="6" t="s">
        <v>39</v>
      </c>
      <c r="H2" s="5"/>
      <c r="I2" s="6" t="s">
        <v>39</v>
      </c>
      <c r="J2" s="5"/>
      <c r="K2" s="5" t="s">
        <v>39</v>
      </c>
      <c r="L2" s="5"/>
      <c r="M2" s="6" t="s">
        <v>39</v>
      </c>
      <c r="N2" t="s">
        <v>56</v>
      </c>
    </row>
    <row r="3" spans="1:24" x14ac:dyDescent="0.35">
      <c r="A3" s="5" t="s">
        <v>0</v>
      </c>
      <c r="B3" s="5" t="s">
        <v>2</v>
      </c>
      <c r="C3" s="5" t="s">
        <v>3</v>
      </c>
      <c r="D3" s="5" t="s">
        <v>5</v>
      </c>
      <c r="E3" s="5" t="s">
        <v>9</v>
      </c>
      <c r="F3" s="5" t="s">
        <v>33</v>
      </c>
      <c r="G3" s="6" t="s">
        <v>3</v>
      </c>
      <c r="H3" s="6" t="s">
        <v>7</v>
      </c>
      <c r="I3" s="6" t="s">
        <v>3</v>
      </c>
      <c r="J3" s="6" t="s">
        <v>38</v>
      </c>
      <c r="K3" s="6" t="s">
        <v>3</v>
      </c>
      <c r="L3" s="6" t="s">
        <v>40</v>
      </c>
      <c r="M3" s="6" t="s">
        <v>3</v>
      </c>
      <c r="U3" s="2" t="s">
        <v>51</v>
      </c>
      <c r="V3" s="2" t="s">
        <v>52</v>
      </c>
      <c r="W3" s="2" t="s">
        <v>53</v>
      </c>
      <c r="X3" s="2" t="s">
        <v>54</v>
      </c>
    </row>
    <row r="4" spans="1:24" x14ac:dyDescent="0.35">
      <c r="A4" s="5">
        <v>1</v>
      </c>
      <c r="B4" s="5">
        <v>1</v>
      </c>
      <c r="C4" s="5">
        <v>17.7</v>
      </c>
      <c r="D4" s="5">
        <v>1.786</v>
      </c>
      <c r="E4" s="7" t="s">
        <v>10</v>
      </c>
      <c r="F4" s="5">
        <v>4</v>
      </c>
      <c r="G4" s="5">
        <v>4.3</v>
      </c>
      <c r="H4" s="5">
        <v>4</v>
      </c>
      <c r="I4" s="5">
        <v>4.3</v>
      </c>
      <c r="J4" s="5">
        <v>4</v>
      </c>
      <c r="K4" s="5">
        <v>4.3</v>
      </c>
      <c r="L4" s="5">
        <v>4</v>
      </c>
      <c r="M4" s="5">
        <v>4.3</v>
      </c>
      <c r="U4">
        <f>B4*G4</f>
        <v>4.3</v>
      </c>
      <c r="V4">
        <f>B4*I4</f>
        <v>4.3</v>
      </c>
      <c r="W4">
        <f>B4*K4</f>
        <v>4.3</v>
      </c>
      <c r="X4">
        <f>B4*M4</f>
        <v>4.3</v>
      </c>
    </row>
    <row r="5" spans="1:24" x14ac:dyDescent="0.35">
      <c r="A5" s="5">
        <v>2</v>
      </c>
      <c r="B5" s="5">
        <v>1</v>
      </c>
      <c r="C5" s="5">
        <v>18.399999999999999</v>
      </c>
      <c r="D5" s="5">
        <v>1.742</v>
      </c>
      <c r="E5" s="7" t="s">
        <v>11</v>
      </c>
      <c r="F5" s="5">
        <v>4</v>
      </c>
      <c r="G5" s="5">
        <v>4.5</v>
      </c>
      <c r="H5" s="5">
        <v>4</v>
      </c>
      <c r="I5" s="5">
        <v>4.5</v>
      </c>
      <c r="J5" s="5">
        <v>4</v>
      </c>
      <c r="K5" s="5">
        <v>4.5</v>
      </c>
      <c r="L5" s="5">
        <v>4</v>
      </c>
      <c r="M5" s="5">
        <v>4.5</v>
      </c>
      <c r="U5">
        <f t="shared" ref="U5:U31" si="0">B5*G5</f>
        <v>4.5</v>
      </c>
      <c r="V5">
        <f t="shared" ref="V5:V31" si="1">B5*I5</f>
        <v>4.5</v>
      </c>
      <c r="W5">
        <f t="shared" ref="W5:W31" si="2">B5*K5</f>
        <v>4.5</v>
      </c>
      <c r="X5">
        <f t="shared" ref="X5:X31" si="3">B5*M5</f>
        <v>4.5</v>
      </c>
    </row>
    <row r="6" spans="1:24" x14ac:dyDescent="0.35">
      <c r="A6" s="5">
        <v>3</v>
      </c>
      <c r="B6" s="5">
        <v>1</v>
      </c>
      <c r="C6" s="5">
        <v>19.2</v>
      </c>
      <c r="D6" s="5">
        <v>1.7030000000000001</v>
      </c>
      <c r="E6" s="7" t="s">
        <v>12</v>
      </c>
      <c r="F6" s="5">
        <v>4</v>
      </c>
      <c r="G6" s="5">
        <v>4.7</v>
      </c>
      <c r="H6" s="5">
        <v>4</v>
      </c>
      <c r="I6" s="5">
        <v>4.7</v>
      </c>
      <c r="J6" s="5">
        <v>4</v>
      </c>
      <c r="K6" s="5">
        <v>4.7</v>
      </c>
      <c r="L6" s="5">
        <v>4</v>
      </c>
      <c r="M6" s="5">
        <v>4.7</v>
      </c>
      <c r="U6">
        <f t="shared" si="0"/>
        <v>4.7</v>
      </c>
      <c r="V6">
        <f t="shared" si="1"/>
        <v>4.7</v>
      </c>
      <c r="W6">
        <f t="shared" si="2"/>
        <v>4.7</v>
      </c>
      <c r="X6">
        <f t="shared" si="3"/>
        <v>4.7</v>
      </c>
    </row>
    <row r="7" spans="1:24" x14ac:dyDescent="0.35">
      <c r="A7" s="5">
        <v>4</v>
      </c>
      <c r="B7" s="5">
        <v>1</v>
      </c>
      <c r="C7" s="5">
        <v>20</v>
      </c>
      <c r="D7" s="5">
        <v>1.659</v>
      </c>
      <c r="E7" s="7" t="s">
        <v>13</v>
      </c>
      <c r="F7" s="5">
        <v>4</v>
      </c>
      <c r="G7" s="5">
        <v>4.9000000000000004</v>
      </c>
      <c r="H7" s="5">
        <v>4</v>
      </c>
      <c r="I7" s="5">
        <v>4.9000000000000004</v>
      </c>
      <c r="J7" s="5">
        <v>4</v>
      </c>
      <c r="K7" s="5">
        <v>4.9000000000000004</v>
      </c>
      <c r="L7" s="5">
        <v>4</v>
      </c>
      <c r="M7" s="5">
        <v>4.9000000000000004</v>
      </c>
      <c r="U7">
        <f t="shared" si="0"/>
        <v>4.9000000000000004</v>
      </c>
      <c r="V7">
        <f t="shared" si="1"/>
        <v>4.9000000000000004</v>
      </c>
      <c r="W7">
        <f t="shared" si="2"/>
        <v>4.9000000000000004</v>
      </c>
      <c r="X7">
        <f t="shared" si="3"/>
        <v>4.9000000000000004</v>
      </c>
    </row>
    <row r="8" spans="1:24" x14ac:dyDescent="0.35">
      <c r="A8" s="5">
        <v>5</v>
      </c>
      <c r="B8" s="5">
        <v>1</v>
      </c>
      <c r="C8" s="5">
        <v>20.7</v>
      </c>
      <c r="D8" s="5">
        <v>1.615</v>
      </c>
      <c r="E8" s="7" t="s">
        <v>14</v>
      </c>
      <c r="F8" s="5">
        <v>4</v>
      </c>
      <c r="G8" s="5">
        <v>5.0999999999999996</v>
      </c>
      <c r="H8" s="5">
        <v>4</v>
      </c>
      <c r="I8" s="5">
        <v>5.0999999999999996</v>
      </c>
      <c r="J8" s="5">
        <v>4</v>
      </c>
      <c r="K8" s="5">
        <v>5.0999999999999996</v>
      </c>
      <c r="L8" s="5">
        <v>4</v>
      </c>
      <c r="M8" s="5">
        <v>5.0999999999999996</v>
      </c>
      <c r="U8">
        <f t="shared" si="0"/>
        <v>5.0999999999999996</v>
      </c>
      <c r="V8">
        <f t="shared" si="1"/>
        <v>5.0999999999999996</v>
      </c>
      <c r="W8">
        <f t="shared" si="2"/>
        <v>5.0999999999999996</v>
      </c>
      <c r="X8">
        <f t="shared" si="3"/>
        <v>5.0999999999999996</v>
      </c>
    </row>
    <row r="9" spans="1:24" x14ac:dyDescent="0.35">
      <c r="A9" s="5">
        <v>6</v>
      </c>
      <c r="B9" s="5">
        <v>1</v>
      </c>
      <c r="C9" s="5">
        <v>21.4</v>
      </c>
      <c r="D9" s="5">
        <v>1.575</v>
      </c>
      <c r="E9" s="7" t="s">
        <v>15</v>
      </c>
      <c r="F9" s="5">
        <v>4</v>
      </c>
      <c r="G9" s="5">
        <v>5.2</v>
      </c>
      <c r="H9" s="5">
        <v>4</v>
      </c>
      <c r="I9" s="5">
        <v>5.2</v>
      </c>
      <c r="J9" s="5">
        <v>4</v>
      </c>
      <c r="K9" s="5">
        <v>5.2</v>
      </c>
      <c r="L9" s="5">
        <v>4</v>
      </c>
      <c r="M9" s="5">
        <v>5.2</v>
      </c>
      <c r="U9">
        <f t="shared" si="0"/>
        <v>5.2</v>
      </c>
      <c r="V9">
        <f t="shared" si="1"/>
        <v>5.2</v>
      </c>
      <c r="W9">
        <f t="shared" si="2"/>
        <v>5.2</v>
      </c>
      <c r="X9">
        <f t="shared" si="3"/>
        <v>5.2</v>
      </c>
    </row>
    <row r="10" spans="1:24" x14ac:dyDescent="0.35">
      <c r="A10" s="5">
        <v>7</v>
      </c>
      <c r="B10" s="5">
        <v>1</v>
      </c>
      <c r="C10" s="5">
        <v>21.9</v>
      </c>
      <c r="D10" s="5">
        <v>1.536</v>
      </c>
      <c r="E10" s="7" t="s">
        <v>16</v>
      </c>
      <c r="F10" s="5">
        <v>4</v>
      </c>
      <c r="G10" s="5">
        <v>5.4</v>
      </c>
      <c r="H10" s="5">
        <v>4</v>
      </c>
      <c r="I10" s="5">
        <v>5.4</v>
      </c>
      <c r="J10" s="5">
        <v>4</v>
      </c>
      <c r="K10" s="5">
        <v>5.4</v>
      </c>
      <c r="L10" s="5">
        <v>4</v>
      </c>
      <c r="M10" s="5">
        <v>5.4</v>
      </c>
      <c r="U10">
        <f t="shared" si="0"/>
        <v>5.4</v>
      </c>
      <c r="V10">
        <f t="shared" si="1"/>
        <v>5.4</v>
      </c>
      <c r="W10">
        <f t="shared" si="2"/>
        <v>5.4</v>
      </c>
      <c r="X10">
        <f t="shared" si="3"/>
        <v>5.4</v>
      </c>
    </row>
    <row r="11" spans="1:24" x14ac:dyDescent="0.35">
      <c r="A11" s="5">
        <v>8</v>
      </c>
      <c r="B11" s="5">
        <v>1</v>
      </c>
      <c r="C11" s="5">
        <v>22.3</v>
      </c>
      <c r="D11" s="5">
        <v>1.496</v>
      </c>
      <c r="E11" s="7" t="s">
        <v>17</v>
      </c>
      <c r="F11" s="5">
        <v>4</v>
      </c>
      <c r="G11" s="5">
        <v>5.5</v>
      </c>
      <c r="H11" s="5">
        <v>4</v>
      </c>
      <c r="I11" s="5">
        <v>5.5</v>
      </c>
      <c r="J11" s="5">
        <v>4</v>
      </c>
      <c r="K11" s="5">
        <v>5.5</v>
      </c>
      <c r="L11" s="5">
        <v>4</v>
      </c>
      <c r="M11" s="5">
        <v>5.5</v>
      </c>
      <c r="U11">
        <f t="shared" si="0"/>
        <v>5.5</v>
      </c>
      <c r="V11">
        <f t="shared" si="1"/>
        <v>5.5</v>
      </c>
      <c r="W11">
        <f t="shared" si="2"/>
        <v>5.5</v>
      </c>
      <c r="X11">
        <f t="shared" si="3"/>
        <v>5.5</v>
      </c>
    </row>
    <row r="12" spans="1:24" x14ac:dyDescent="0.35">
      <c r="A12" s="5">
        <v>9</v>
      </c>
      <c r="B12" s="5">
        <v>1</v>
      </c>
      <c r="C12" s="5">
        <v>21.7</v>
      </c>
      <c r="D12" s="5">
        <v>1.46</v>
      </c>
      <c r="E12" s="7" t="s">
        <v>18</v>
      </c>
      <c r="F12" s="5">
        <v>4</v>
      </c>
      <c r="G12" s="5">
        <v>5.3</v>
      </c>
      <c r="H12" s="5">
        <v>4</v>
      </c>
      <c r="I12" s="5">
        <v>5.3</v>
      </c>
      <c r="J12" s="5">
        <v>4</v>
      </c>
      <c r="K12" s="5">
        <v>5.3</v>
      </c>
      <c r="L12" s="5">
        <v>4</v>
      </c>
      <c r="M12" s="5">
        <v>5.3</v>
      </c>
      <c r="U12">
        <f t="shared" si="0"/>
        <v>5.3</v>
      </c>
      <c r="V12">
        <f t="shared" si="1"/>
        <v>5.3</v>
      </c>
      <c r="W12">
        <f t="shared" si="2"/>
        <v>5.3</v>
      </c>
      <c r="X12">
        <f t="shared" si="3"/>
        <v>5.3</v>
      </c>
    </row>
    <row r="13" spans="1:24" x14ac:dyDescent="0.35">
      <c r="A13" s="5">
        <v>10</v>
      </c>
      <c r="B13" s="5">
        <v>1.25</v>
      </c>
      <c r="C13" s="5">
        <v>20.399999999999999</v>
      </c>
      <c r="D13" s="5">
        <v>1.4119999999999999</v>
      </c>
      <c r="E13" s="7" t="s">
        <v>19</v>
      </c>
      <c r="F13" s="5">
        <v>4</v>
      </c>
      <c r="G13" s="5">
        <v>5</v>
      </c>
      <c r="H13" s="5">
        <v>4</v>
      </c>
      <c r="I13" s="5">
        <v>5</v>
      </c>
      <c r="J13" s="5">
        <v>4</v>
      </c>
      <c r="K13" s="5">
        <v>5</v>
      </c>
      <c r="L13" s="5">
        <v>4</v>
      </c>
      <c r="M13" s="5">
        <v>5</v>
      </c>
      <c r="U13">
        <f t="shared" si="0"/>
        <v>6.25</v>
      </c>
      <c r="V13">
        <f t="shared" si="1"/>
        <v>6.25</v>
      </c>
      <c r="W13">
        <f t="shared" si="2"/>
        <v>6.25</v>
      </c>
      <c r="X13">
        <f t="shared" si="3"/>
        <v>6.25</v>
      </c>
    </row>
    <row r="14" spans="1:24" x14ac:dyDescent="0.35">
      <c r="A14" s="5">
        <v>11</v>
      </c>
      <c r="B14" s="5">
        <v>1.5</v>
      </c>
      <c r="C14" s="5">
        <v>19.100000000000001</v>
      </c>
      <c r="D14" s="5">
        <v>1.365</v>
      </c>
      <c r="E14" s="7" t="s">
        <v>20</v>
      </c>
      <c r="F14" s="5">
        <v>4</v>
      </c>
      <c r="G14" s="5">
        <v>4.7</v>
      </c>
      <c r="H14" s="5">
        <v>4</v>
      </c>
      <c r="I14" s="5">
        <v>4.7</v>
      </c>
      <c r="J14" s="5">
        <v>4</v>
      </c>
      <c r="K14" s="5">
        <v>4.7</v>
      </c>
      <c r="L14" s="5">
        <v>4</v>
      </c>
      <c r="M14" s="5">
        <v>4.7</v>
      </c>
      <c r="U14">
        <f t="shared" si="0"/>
        <v>7.0500000000000007</v>
      </c>
      <c r="V14">
        <f t="shared" si="1"/>
        <v>7.0500000000000007</v>
      </c>
      <c r="W14">
        <f t="shared" si="2"/>
        <v>7.0500000000000007</v>
      </c>
      <c r="X14">
        <f t="shared" si="3"/>
        <v>7.0500000000000007</v>
      </c>
    </row>
    <row r="15" spans="1:24" x14ac:dyDescent="0.35">
      <c r="A15" s="5">
        <v>12</v>
      </c>
      <c r="B15" s="5">
        <v>1.65</v>
      </c>
      <c r="C15" s="5">
        <v>17.8</v>
      </c>
      <c r="D15" s="5">
        <v>1.325</v>
      </c>
      <c r="E15" s="7" t="s">
        <v>21</v>
      </c>
      <c r="F15" s="5">
        <v>4</v>
      </c>
      <c r="G15" s="5">
        <v>4.4000000000000004</v>
      </c>
      <c r="H15" s="5">
        <v>4</v>
      </c>
      <c r="I15" s="5">
        <v>4.4000000000000004</v>
      </c>
      <c r="J15" s="5">
        <v>4</v>
      </c>
      <c r="K15" s="5">
        <v>4.4000000000000004</v>
      </c>
      <c r="L15" s="5">
        <v>4</v>
      </c>
      <c r="M15" s="5">
        <v>4.4000000000000004</v>
      </c>
      <c r="U15">
        <f t="shared" si="0"/>
        <v>7.26</v>
      </c>
      <c r="V15">
        <f t="shared" si="1"/>
        <v>7.26</v>
      </c>
      <c r="W15">
        <f t="shared" si="2"/>
        <v>7.26</v>
      </c>
      <c r="X15">
        <f t="shared" si="3"/>
        <v>7.26</v>
      </c>
    </row>
    <row r="16" spans="1:24" x14ac:dyDescent="0.35">
      <c r="A16" s="5">
        <v>13</v>
      </c>
      <c r="B16" s="5">
        <v>1.8</v>
      </c>
      <c r="C16" s="5">
        <v>16.899999999999999</v>
      </c>
      <c r="D16" s="5">
        <v>1.2969999999999999</v>
      </c>
      <c r="E16" s="7" t="s">
        <v>22</v>
      </c>
      <c r="F16" s="5">
        <v>4</v>
      </c>
      <c r="G16" s="5">
        <v>4.0999999999999996</v>
      </c>
      <c r="H16" s="5">
        <v>4</v>
      </c>
      <c r="I16" s="5">
        <v>4.0999999999999996</v>
      </c>
      <c r="J16" s="5">
        <v>4</v>
      </c>
      <c r="K16" s="5">
        <v>4.0999999999999996</v>
      </c>
      <c r="L16" s="5">
        <v>4</v>
      </c>
      <c r="M16" s="5">
        <v>4.0999999999999996</v>
      </c>
      <c r="U16">
        <f t="shared" si="0"/>
        <v>7.38</v>
      </c>
      <c r="V16">
        <f t="shared" si="1"/>
        <v>7.38</v>
      </c>
      <c r="W16">
        <f t="shared" si="2"/>
        <v>7.38</v>
      </c>
      <c r="X16">
        <f t="shared" si="3"/>
        <v>7.38</v>
      </c>
    </row>
    <row r="17" spans="1:24" x14ac:dyDescent="0.35">
      <c r="A17" s="5">
        <v>14</v>
      </c>
      <c r="B17" s="5">
        <v>2.0499999999999998</v>
      </c>
      <c r="C17" s="5">
        <v>17.7</v>
      </c>
      <c r="D17" s="5">
        <v>1.3919999999999999</v>
      </c>
      <c r="E17" s="7" t="s">
        <v>23</v>
      </c>
      <c r="F17" s="5">
        <v>4</v>
      </c>
      <c r="G17" s="5">
        <v>4.3</v>
      </c>
      <c r="H17" s="5">
        <v>4</v>
      </c>
      <c r="I17" s="5">
        <v>4.3</v>
      </c>
      <c r="J17" s="5">
        <v>4</v>
      </c>
      <c r="K17" s="5">
        <v>4.3</v>
      </c>
      <c r="L17" s="5">
        <v>4</v>
      </c>
      <c r="M17" s="5">
        <v>4.3</v>
      </c>
      <c r="U17">
        <f t="shared" si="0"/>
        <v>8.8149999999999995</v>
      </c>
      <c r="V17">
        <f t="shared" si="1"/>
        <v>8.8149999999999995</v>
      </c>
      <c r="W17">
        <f t="shared" si="2"/>
        <v>8.8149999999999995</v>
      </c>
      <c r="X17">
        <f t="shared" si="3"/>
        <v>8.8149999999999995</v>
      </c>
    </row>
    <row r="18" spans="1:24" x14ac:dyDescent="0.35">
      <c r="A18" s="5">
        <v>15</v>
      </c>
      <c r="B18" s="5">
        <v>3</v>
      </c>
      <c r="C18" s="5">
        <v>21.8</v>
      </c>
      <c r="D18" s="5">
        <v>1.8340000000000001</v>
      </c>
      <c r="E18" s="7" t="s">
        <v>24</v>
      </c>
      <c r="F18" s="5">
        <v>4</v>
      </c>
      <c r="G18" s="5">
        <v>5.4</v>
      </c>
      <c r="H18" s="5">
        <v>4</v>
      </c>
      <c r="I18" s="5">
        <v>5.4</v>
      </c>
      <c r="J18" s="5">
        <v>4</v>
      </c>
      <c r="K18" s="5">
        <v>5.4</v>
      </c>
      <c r="L18" s="5">
        <v>4</v>
      </c>
      <c r="M18" s="5">
        <v>5.4</v>
      </c>
      <c r="U18">
        <f t="shared" si="0"/>
        <v>16.200000000000003</v>
      </c>
      <c r="V18">
        <f t="shared" si="1"/>
        <v>16.200000000000003</v>
      </c>
      <c r="W18">
        <f t="shared" si="2"/>
        <v>16.200000000000003</v>
      </c>
      <c r="X18">
        <f t="shared" si="3"/>
        <v>16.200000000000003</v>
      </c>
    </row>
    <row r="19" spans="1:24" x14ac:dyDescent="0.35">
      <c r="A19" s="5">
        <v>16</v>
      </c>
      <c r="B19" s="5">
        <v>2.15</v>
      </c>
      <c r="C19" s="5">
        <v>28.9</v>
      </c>
      <c r="D19" s="5">
        <v>2.1120000000000001</v>
      </c>
      <c r="E19" s="7" t="s">
        <v>25</v>
      </c>
      <c r="F19" s="5">
        <v>4</v>
      </c>
      <c r="G19" s="5">
        <v>7.1</v>
      </c>
      <c r="H19" s="5">
        <v>4</v>
      </c>
      <c r="I19" s="5">
        <v>7.1</v>
      </c>
      <c r="J19" s="5">
        <v>4</v>
      </c>
      <c r="K19" s="5">
        <v>7.1</v>
      </c>
      <c r="L19" s="5">
        <v>4</v>
      </c>
      <c r="M19" s="5">
        <v>7.1</v>
      </c>
      <c r="U19">
        <f t="shared" si="0"/>
        <v>15.264999999999999</v>
      </c>
      <c r="V19">
        <f t="shared" si="1"/>
        <v>15.264999999999999</v>
      </c>
      <c r="W19">
        <f t="shared" si="2"/>
        <v>15.264999999999999</v>
      </c>
      <c r="X19">
        <f t="shared" si="3"/>
        <v>15.264999999999999</v>
      </c>
    </row>
    <row r="20" spans="1:24" x14ac:dyDescent="0.35">
      <c r="A20" s="5">
        <v>17</v>
      </c>
      <c r="B20" s="5">
        <v>1.75</v>
      </c>
      <c r="C20" s="5">
        <v>33.4</v>
      </c>
      <c r="D20" s="5">
        <v>2.3109999999999999</v>
      </c>
      <c r="E20" s="7" t="s">
        <v>26</v>
      </c>
      <c r="F20" s="5">
        <v>4</v>
      </c>
      <c r="G20" s="5">
        <v>8.3000000000000007</v>
      </c>
      <c r="H20" s="5">
        <v>4</v>
      </c>
      <c r="I20" s="5">
        <v>8.3000000000000007</v>
      </c>
      <c r="J20" s="5">
        <v>4</v>
      </c>
      <c r="K20" s="5">
        <v>8.3000000000000007</v>
      </c>
      <c r="L20" s="5">
        <v>4</v>
      </c>
      <c r="M20" s="5">
        <v>8.3000000000000007</v>
      </c>
      <c r="U20">
        <f t="shared" si="0"/>
        <v>14.525000000000002</v>
      </c>
      <c r="V20">
        <f t="shared" si="1"/>
        <v>14.525000000000002</v>
      </c>
      <c r="W20">
        <f t="shared" si="2"/>
        <v>14.525000000000002</v>
      </c>
      <c r="X20">
        <f t="shared" si="3"/>
        <v>14.525000000000002</v>
      </c>
    </row>
    <row r="21" spans="1:24" x14ac:dyDescent="0.35">
      <c r="A21" s="5">
        <v>18</v>
      </c>
      <c r="B21" s="5">
        <v>1.4</v>
      </c>
      <c r="C21" s="5">
        <v>36.4</v>
      </c>
      <c r="D21" s="5">
        <v>2.4390000000000001</v>
      </c>
      <c r="E21" s="7" t="s">
        <v>27</v>
      </c>
      <c r="F21" s="5">
        <v>4</v>
      </c>
      <c r="G21" s="5">
        <v>9</v>
      </c>
      <c r="H21" s="5">
        <v>4</v>
      </c>
      <c r="I21" s="5">
        <v>9</v>
      </c>
      <c r="J21" s="5">
        <v>4</v>
      </c>
      <c r="K21" s="5">
        <v>9</v>
      </c>
      <c r="L21" s="5">
        <v>4</v>
      </c>
      <c r="M21" s="5">
        <v>9</v>
      </c>
      <c r="U21">
        <f t="shared" si="0"/>
        <v>12.6</v>
      </c>
      <c r="V21">
        <f t="shared" si="1"/>
        <v>12.6</v>
      </c>
      <c r="W21">
        <f t="shared" si="2"/>
        <v>12.6</v>
      </c>
      <c r="X21">
        <f t="shared" si="3"/>
        <v>12.6</v>
      </c>
    </row>
    <row r="22" spans="1:24" x14ac:dyDescent="0.35">
      <c r="A22" s="5">
        <v>19</v>
      </c>
      <c r="B22" s="5">
        <v>1.05</v>
      </c>
      <c r="C22" s="5">
        <v>38</v>
      </c>
      <c r="D22" s="5">
        <v>2.4670000000000001</v>
      </c>
      <c r="E22" s="7" t="s">
        <v>28</v>
      </c>
      <c r="F22" s="5">
        <v>4</v>
      </c>
      <c r="G22" s="5">
        <v>9.4</v>
      </c>
      <c r="H22" s="5">
        <v>4</v>
      </c>
      <c r="I22" s="5">
        <v>9.4</v>
      </c>
      <c r="J22" s="5">
        <v>4</v>
      </c>
      <c r="K22" s="5">
        <v>9.4</v>
      </c>
      <c r="L22" s="5">
        <v>4</v>
      </c>
      <c r="M22" s="5">
        <v>9.4</v>
      </c>
      <c r="U22">
        <f t="shared" si="0"/>
        <v>9.870000000000001</v>
      </c>
      <c r="V22">
        <f t="shared" si="1"/>
        <v>9.870000000000001</v>
      </c>
      <c r="W22">
        <f t="shared" si="2"/>
        <v>9.870000000000001</v>
      </c>
      <c r="X22">
        <f t="shared" si="3"/>
        <v>9.870000000000001</v>
      </c>
    </row>
    <row r="23" spans="1:24" x14ac:dyDescent="0.35">
      <c r="A23" s="5">
        <v>20</v>
      </c>
      <c r="B23" s="5">
        <v>1</v>
      </c>
      <c r="C23" s="5">
        <v>38.200000000000003</v>
      </c>
      <c r="D23" s="5">
        <v>2.4670000000000001</v>
      </c>
      <c r="E23" s="7" t="s">
        <v>28</v>
      </c>
      <c r="F23" s="5">
        <v>4</v>
      </c>
      <c r="G23" s="5">
        <v>9.5</v>
      </c>
      <c r="H23" s="5">
        <v>4</v>
      </c>
      <c r="I23" s="5">
        <v>9.5</v>
      </c>
      <c r="J23" s="5">
        <v>4</v>
      </c>
      <c r="K23" s="5">
        <v>9.5</v>
      </c>
      <c r="L23" s="5">
        <v>4</v>
      </c>
      <c r="M23" s="5">
        <v>9.5</v>
      </c>
      <c r="U23">
        <f t="shared" si="0"/>
        <v>9.5</v>
      </c>
      <c r="V23">
        <f t="shared" si="1"/>
        <v>9.5</v>
      </c>
      <c r="W23">
        <f t="shared" si="2"/>
        <v>9.5</v>
      </c>
      <c r="X23">
        <f t="shared" si="3"/>
        <v>9.5</v>
      </c>
    </row>
    <row r="24" spans="1:24" x14ac:dyDescent="0.35">
      <c r="A24" s="5">
        <v>21</v>
      </c>
      <c r="B24" s="5">
        <v>1</v>
      </c>
      <c r="C24" s="5">
        <v>38.200000000000003</v>
      </c>
      <c r="D24" s="5">
        <v>2.4670000000000001</v>
      </c>
      <c r="E24" s="7" t="s">
        <v>28</v>
      </c>
      <c r="F24" s="5">
        <v>4</v>
      </c>
      <c r="G24" s="5">
        <v>9.5</v>
      </c>
      <c r="H24" s="5">
        <v>4</v>
      </c>
      <c r="I24" s="5">
        <v>9.5</v>
      </c>
      <c r="J24" s="5">
        <v>4</v>
      </c>
      <c r="K24" s="5">
        <v>9.5</v>
      </c>
      <c r="L24" s="5">
        <v>4</v>
      </c>
      <c r="M24" s="5">
        <v>9.5</v>
      </c>
      <c r="U24">
        <f t="shared" si="0"/>
        <v>9.5</v>
      </c>
      <c r="V24">
        <f t="shared" si="1"/>
        <v>9.5</v>
      </c>
      <c r="W24">
        <f t="shared" si="2"/>
        <v>9.5</v>
      </c>
      <c r="X24">
        <f t="shared" si="3"/>
        <v>9.5</v>
      </c>
    </row>
    <row r="25" spans="1:24" x14ac:dyDescent="0.35">
      <c r="A25" s="5">
        <v>22</v>
      </c>
      <c r="B25" s="5">
        <v>1</v>
      </c>
      <c r="C25" s="5">
        <v>38.299999999999997</v>
      </c>
      <c r="D25" s="5">
        <v>2.4780000000000002</v>
      </c>
      <c r="E25" s="7" t="s">
        <v>29</v>
      </c>
      <c r="F25" s="5">
        <v>4</v>
      </c>
      <c r="G25" s="5">
        <v>9.5</v>
      </c>
      <c r="H25" s="5">
        <v>4</v>
      </c>
      <c r="I25" s="5">
        <v>9.5</v>
      </c>
      <c r="J25" s="5">
        <v>4</v>
      </c>
      <c r="K25" s="5">
        <v>9.5</v>
      </c>
      <c r="L25" s="5">
        <v>4</v>
      </c>
      <c r="M25" s="5">
        <v>9.5</v>
      </c>
      <c r="U25">
        <f t="shared" si="0"/>
        <v>9.5</v>
      </c>
      <c r="V25">
        <f t="shared" si="1"/>
        <v>9.5</v>
      </c>
      <c r="W25">
        <f t="shared" si="2"/>
        <v>9.5</v>
      </c>
      <c r="X25">
        <f t="shared" si="3"/>
        <v>9.5</v>
      </c>
    </row>
    <row r="26" spans="1:24" x14ac:dyDescent="0.35">
      <c r="A26" s="5">
        <v>23</v>
      </c>
      <c r="B26" s="5">
        <v>1</v>
      </c>
      <c r="C26" s="5">
        <v>38.5</v>
      </c>
      <c r="D26" s="5">
        <v>2.4860000000000002</v>
      </c>
      <c r="E26" s="7" t="s">
        <v>29</v>
      </c>
      <c r="F26" s="5">
        <v>4</v>
      </c>
      <c r="G26" s="5">
        <v>9.5</v>
      </c>
      <c r="H26" s="5">
        <v>4</v>
      </c>
      <c r="I26" s="5">
        <v>9.5</v>
      </c>
      <c r="J26" s="5">
        <v>4</v>
      </c>
      <c r="K26" s="5">
        <v>9.5</v>
      </c>
      <c r="L26" s="5">
        <v>4</v>
      </c>
      <c r="M26" s="5">
        <v>9.5</v>
      </c>
      <c r="U26">
        <f t="shared" si="0"/>
        <v>9.5</v>
      </c>
      <c r="V26">
        <f t="shared" si="1"/>
        <v>9.5</v>
      </c>
      <c r="W26">
        <f t="shared" si="2"/>
        <v>9.5</v>
      </c>
      <c r="X26">
        <f t="shared" si="3"/>
        <v>9.5</v>
      </c>
    </row>
    <row r="27" spans="1:24" x14ac:dyDescent="0.35">
      <c r="A27" s="5">
        <v>24</v>
      </c>
      <c r="B27" s="5">
        <v>1</v>
      </c>
      <c r="C27" s="5">
        <v>38.6</v>
      </c>
      <c r="D27" s="5">
        <v>2.4940000000000002</v>
      </c>
      <c r="E27" s="7" t="s">
        <v>29</v>
      </c>
      <c r="F27" s="5">
        <v>4</v>
      </c>
      <c r="G27" s="5">
        <v>9.6</v>
      </c>
      <c r="H27" s="5">
        <v>4</v>
      </c>
      <c r="I27" s="5">
        <v>9.6</v>
      </c>
      <c r="J27" s="5">
        <v>4</v>
      </c>
      <c r="K27" s="5">
        <v>9.6</v>
      </c>
      <c r="L27" s="5">
        <v>4</v>
      </c>
      <c r="M27" s="5">
        <v>9.6</v>
      </c>
      <c r="U27">
        <f t="shared" si="0"/>
        <v>9.6</v>
      </c>
      <c r="V27">
        <f t="shared" si="1"/>
        <v>9.6</v>
      </c>
      <c r="W27">
        <f t="shared" si="2"/>
        <v>9.6</v>
      </c>
      <c r="X27">
        <f t="shared" si="3"/>
        <v>9.6</v>
      </c>
    </row>
    <row r="28" spans="1:24" x14ac:dyDescent="0.35">
      <c r="A28" s="5">
        <v>25</v>
      </c>
      <c r="B28" s="5">
        <v>1</v>
      </c>
      <c r="C28" s="5">
        <v>38.799999999999997</v>
      </c>
      <c r="D28" s="5">
        <v>2.5059999999999998</v>
      </c>
      <c r="E28" s="7" t="s">
        <v>30</v>
      </c>
      <c r="F28" s="5">
        <v>4</v>
      </c>
      <c r="G28" s="5">
        <v>9.6</v>
      </c>
      <c r="H28" s="5">
        <v>4</v>
      </c>
      <c r="I28" s="5">
        <v>9.6</v>
      </c>
      <c r="J28" s="5">
        <v>4</v>
      </c>
      <c r="K28" s="5">
        <v>9.6</v>
      </c>
      <c r="L28" s="5">
        <v>4</v>
      </c>
      <c r="M28" s="5">
        <v>9.6</v>
      </c>
      <c r="U28">
        <f t="shared" si="0"/>
        <v>9.6</v>
      </c>
      <c r="V28">
        <f t="shared" si="1"/>
        <v>9.6</v>
      </c>
      <c r="W28">
        <f t="shared" si="2"/>
        <v>9.6</v>
      </c>
      <c r="X28">
        <f t="shared" si="3"/>
        <v>9.6</v>
      </c>
    </row>
    <row r="29" spans="1:24" x14ac:dyDescent="0.35">
      <c r="A29" s="5">
        <v>26</v>
      </c>
      <c r="B29" s="5">
        <v>1</v>
      </c>
      <c r="C29" s="5">
        <v>38.9</v>
      </c>
      <c r="D29" s="5">
        <v>2.5179999999999998</v>
      </c>
      <c r="E29" s="7" t="s">
        <v>31</v>
      </c>
      <c r="F29" s="5">
        <v>4</v>
      </c>
      <c r="G29" s="5">
        <v>9.6</v>
      </c>
      <c r="H29" s="5">
        <v>4</v>
      </c>
      <c r="I29" s="5">
        <v>9.6</v>
      </c>
      <c r="J29" s="5">
        <v>4</v>
      </c>
      <c r="K29" s="5">
        <v>9.6</v>
      </c>
      <c r="L29" s="5">
        <v>4</v>
      </c>
      <c r="M29" s="5">
        <v>9.6</v>
      </c>
      <c r="U29">
        <f t="shared" si="0"/>
        <v>9.6</v>
      </c>
      <c r="V29">
        <f t="shared" si="1"/>
        <v>9.6</v>
      </c>
      <c r="W29">
        <f t="shared" si="2"/>
        <v>9.6</v>
      </c>
      <c r="X29">
        <f t="shared" si="3"/>
        <v>9.6</v>
      </c>
    </row>
    <row r="30" spans="1:24" x14ac:dyDescent="0.35">
      <c r="A30" s="5">
        <v>27</v>
      </c>
      <c r="B30" s="5">
        <v>1</v>
      </c>
      <c r="C30" s="5">
        <v>39.1</v>
      </c>
      <c r="D30" s="5">
        <v>2.5259999999999998</v>
      </c>
      <c r="E30" s="7" t="s">
        <v>31</v>
      </c>
      <c r="F30" s="5">
        <v>4</v>
      </c>
      <c r="G30" s="5">
        <v>9.6999999999999993</v>
      </c>
      <c r="H30" s="5">
        <v>4</v>
      </c>
      <c r="I30" s="5">
        <v>9.6999999999999993</v>
      </c>
      <c r="J30" s="5">
        <v>4</v>
      </c>
      <c r="K30" s="5">
        <v>9.6999999999999993</v>
      </c>
      <c r="L30" s="5">
        <v>4</v>
      </c>
      <c r="M30" s="5">
        <v>9.6999999999999993</v>
      </c>
      <c r="U30">
        <f t="shared" si="0"/>
        <v>9.6999999999999993</v>
      </c>
      <c r="V30">
        <f t="shared" si="1"/>
        <v>9.6999999999999993</v>
      </c>
      <c r="W30">
        <f t="shared" si="2"/>
        <v>9.6999999999999993</v>
      </c>
      <c r="X30">
        <f t="shared" si="3"/>
        <v>9.6999999999999993</v>
      </c>
    </row>
    <row r="31" spans="1:24" x14ac:dyDescent="0.35">
      <c r="A31" s="5">
        <v>28</v>
      </c>
      <c r="B31" s="5">
        <v>1</v>
      </c>
      <c r="C31" s="5">
        <v>39.299999999999997</v>
      </c>
      <c r="D31" s="5">
        <v>2.5379999999999998</v>
      </c>
      <c r="E31" s="7" t="s">
        <v>32</v>
      </c>
      <c r="F31" s="5">
        <v>4</v>
      </c>
      <c r="G31" s="5">
        <v>9.6999999999999993</v>
      </c>
      <c r="H31" s="5">
        <v>4</v>
      </c>
      <c r="I31" s="5">
        <v>9.6999999999999993</v>
      </c>
      <c r="J31" s="5">
        <v>4</v>
      </c>
      <c r="K31" s="5">
        <v>9.6999999999999993</v>
      </c>
      <c r="L31" s="5">
        <v>4</v>
      </c>
      <c r="M31" s="5">
        <v>9.6999999999999993</v>
      </c>
      <c r="U31">
        <f t="shared" si="0"/>
        <v>9.6999999999999993</v>
      </c>
      <c r="V31">
        <f t="shared" si="1"/>
        <v>9.6999999999999993</v>
      </c>
      <c r="W31">
        <f t="shared" si="2"/>
        <v>9.6999999999999993</v>
      </c>
      <c r="X31">
        <f t="shared" si="3"/>
        <v>9.6999999999999993</v>
      </c>
    </row>
    <row r="32" spans="1:24" x14ac:dyDescent="0.35">
      <c r="C32" s="3" t="s">
        <v>41</v>
      </c>
      <c r="D32" s="4">
        <f>SUM(F4:F31)</f>
        <v>112</v>
      </c>
      <c r="G32" s="3" t="s">
        <v>47</v>
      </c>
      <c r="H32">
        <f>(U32*0.875)/144</f>
        <v>1.4359418402777775</v>
      </c>
      <c r="U32">
        <f>SUM(U4:U31)</f>
        <v>236.31499999999997</v>
      </c>
      <c r="V32">
        <f t="shared" ref="V32:X32" si="4">SUM(V4:V31)</f>
        <v>236.31499999999997</v>
      </c>
      <c r="W32">
        <f t="shared" si="4"/>
        <v>236.31499999999997</v>
      </c>
      <c r="X32">
        <f t="shared" si="4"/>
        <v>236.31499999999997</v>
      </c>
    </row>
    <row r="33" spans="3:8" x14ac:dyDescent="0.35">
      <c r="C33" s="3" t="s">
        <v>42</v>
      </c>
      <c r="D33" s="4">
        <f>SUM(H4:H31)</f>
        <v>112</v>
      </c>
      <c r="G33" s="3" t="s">
        <v>48</v>
      </c>
      <c r="H33">
        <f>(V32*0.875)/144</f>
        <v>1.4359418402777775</v>
      </c>
    </row>
    <row r="34" spans="3:8" x14ac:dyDescent="0.35">
      <c r="C34" s="3" t="s">
        <v>43</v>
      </c>
      <c r="D34" s="4">
        <f>SUM(J4:J31)</f>
        <v>112</v>
      </c>
      <c r="G34" s="3" t="s">
        <v>49</v>
      </c>
      <c r="H34">
        <f>(W32*0.875)/144</f>
        <v>1.4359418402777775</v>
      </c>
    </row>
    <row r="35" spans="3:8" x14ac:dyDescent="0.35">
      <c r="C35" s="3" t="s">
        <v>44</v>
      </c>
      <c r="D35" s="4">
        <f>SUM(L4:L31)</f>
        <v>112</v>
      </c>
      <c r="G35" s="3" t="s">
        <v>50</v>
      </c>
      <c r="H35">
        <f>(X32*0.875)/144</f>
        <v>1.4359418402777775</v>
      </c>
    </row>
    <row r="36" spans="3:8" x14ac:dyDescent="0.35">
      <c r="C36" s="3" t="s">
        <v>45</v>
      </c>
      <c r="D36" s="3" t="s">
        <v>46</v>
      </c>
      <c r="E36" s="4">
        <v>448</v>
      </c>
      <c r="G36" s="3" t="s">
        <v>55</v>
      </c>
      <c r="H36">
        <f>SUM(H32:H35)</f>
        <v>5.74376736111111</v>
      </c>
    </row>
    <row r="38" spans="3:8" x14ac:dyDescent="0.35">
      <c r="C38" s="3"/>
    </row>
  </sheetData>
  <conditionalFormatting sqref="B4:B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cp:lastPrinted>2021-09-23T03:25:05Z</cp:lastPrinted>
  <dcterms:modified xsi:type="dcterms:W3CDTF">2021-09-24T00:04:09Z</dcterms:modified>
</cp:coreProperties>
</file>