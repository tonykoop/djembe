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Tony\Documents\Heifer Zephyr\Segmented Djembe\"/>
    </mc:Choice>
  </mc:AlternateContent>
  <xr:revisionPtr revIDLastSave="0" documentId="13_ncr:1_{C24A6E66-1967-4EB4-8977-43468C162AA1}" xr6:coauthVersionLast="47" xr6:coauthVersionMax="47" xr10:uidLastSave="{00000000-0000-0000-0000-000000000000}"/>
  <bookViews>
    <workbookView xWindow="-9540" yWindow="20" windowWidth="28800" windowHeight="15460" xr2:uid="{00000000-000D-0000-FFFF-FFFF00000000}"/>
  </bookViews>
  <sheets>
    <sheet name="Sheet1" sheetId="1" r:id="rId1"/>
  </sheets>
  <definedNames>
    <definedName name="_xlnm.Print_Area" localSheetId="0">Sheet1!$A$1:$S$42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5" i="1" l="1"/>
  <c r="Z5" i="1"/>
  <c r="AA5" i="1"/>
  <c r="Y6" i="1"/>
  <c r="Z6" i="1"/>
  <c r="AA6" i="1"/>
  <c r="Y7" i="1"/>
  <c r="Z7" i="1"/>
  <c r="AA7" i="1"/>
  <c r="Y8" i="1"/>
  <c r="Z8" i="1"/>
  <c r="AA8" i="1"/>
  <c r="Y9" i="1"/>
  <c r="Z9" i="1"/>
  <c r="AA9" i="1"/>
  <c r="Y10" i="1"/>
  <c r="Z10" i="1"/>
  <c r="AA10" i="1"/>
  <c r="Y11" i="1"/>
  <c r="Z11" i="1"/>
  <c r="AA11" i="1"/>
  <c r="Y12" i="1"/>
  <c r="Z12" i="1"/>
  <c r="AA12" i="1"/>
  <c r="Y13" i="1"/>
  <c r="Z13" i="1"/>
  <c r="AA13" i="1"/>
  <c r="Y14" i="1"/>
  <c r="Z14" i="1"/>
  <c r="AA14" i="1"/>
  <c r="Y15" i="1"/>
  <c r="Z15" i="1"/>
  <c r="AA15" i="1"/>
  <c r="Y16" i="1"/>
  <c r="Z16" i="1"/>
  <c r="AA16" i="1"/>
  <c r="Y17" i="1"/>
  <c r="Z17" i="1"/>
  <c r="AA17" i="1"/>
  <c r="Y18" i="1"/>
  <c r="Z18" i="1"/>
  <c r="AA18" i="1"/>
  <c r="Y19" i="1"/>
  <c r="Z19" i="1"/>
  <c r="AA19" i="1"/>
  <c r="Y20" i="1"/>
  <c r="Z20" i="1"/>
  <c r="AA20" i="1"/>
  <c r="Y21" i="1"/>
  <c r="Z21" i="1"/>
  <c r="AA21" i="1"/>
  <c r="Y22" i="1"/>
  <c r="Z22" i="1"/>
  <c r="AA22" i="1"/>
  <c r="Y23" i="1"/>
  <c r="Z23" i="1"/>
  <c r="AA23" i="1"/>
  <c r="Y24" i="1"/>
  <c r="Z24" i="1"/>
  <c r="AA24" i="1"/>
  <c r="Y25" i="1"/>
  <c r="Z25" i="1"/>
  <c r="AA25" i="1"/>
  <c r="Y26" i="1"/>
  <c r="Z26" i="1"/>
  <c r="AA26" i="1"/>
  <c r="Y27" i="1"/>
  <c r="Z27" i="1"/>
  <c r="AA27" i="1"/>
  <c r="Y28" i="1"/>
  <c r="Z28" i="1"/>
  <c r="AA28" i="1"/>
  <c r="Y29" i="1"/>
  <c r="Z29" i="1"/>
  <c r="AA29" i="1"/>
  <c r="Y30" i="1"/>
  <c r="Z30" i="1"/>
  <c r="AA30" i="1"/>
  <c r="Y31" i="1"/>
  <c r="Z31" i="1"/>
  <c r="AA31" i="1"/>
  <c r="Y32" i="1"/>
  <c r="Z32" i="1"/>
  <c r="AA32" i="1"/>
  <c r="Y33" i="1"/>
  <c r="Z33" i="1"/>
  <c r="AA33" i="1"/>
  <c r="Y34" i="1"/>
  <c r="Z34" i="1"/>
  <c r="AA34" i="1"/>
  <c r="Y35" i="1"/>
  <c r="Z35" i="1"/>
  <c r="AA35" i="1"/>
  <c r="Y36" i="1"/>
  <c r="Z36" i="1"/>
  <c r="AA36" i="1"/>
  <c r="Y37" i="1"/>
  <c r="Z37" i="1"/>
  <c r="AA37" i="1"/>
  <c r="AA4" i="1"/>
  <c r="Z4" i="1"/>
  <c r="Y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4" i="1"/>
  <c r="F41" i="1"/>
  <c r="F40" i="1"/>
  <c r="F39" i="1"/>
  <c r="F38" i="1"/>
  <c r="AB38" i="1" l="1"/>
  <c r="N41" i="1" s="1"/>
  <c r="Y38" i="1"/>
  <c r="N38" i="1" s="1"/>
  <c r="AA38" i="1"/>
  <c r="N40" i="1" s="1"/>
  <c r="Z38" i="1"/>
  <c r="N39" i="1" s="1"/>
  <c r="G42" i="1"/>
  <c r="N42" i="1" l="1"/>
</calcChain>
</file>

<file path=xl/sharedStrings.xml><?xml version="1.0" encoding="utf-8"?>
<sst xmlns="http://schemas.openxmlformats.org/spreadsheetml/2006/main" count="77" uniqueCount="62">
  <si>
    <t>Row</t>
  </si>
  <si>
    <t>Board</t>
  </si>
  <si>
    <t>Width</t>
  </si>
  <si>
    <t>Length</t>
  </si>
  <si>
    <t>Segment</t>
  </si>
  <si>
    <t>S.E.L.</t>
  </si>
  <si>
    <t>Species</t>
  </si>
  <si>
    <t>Wenge</t>
  </si>
  <si>
    <t>7.50°</t>
  </si>
  <si>
    <t>Diameter</t>
  </si>
  <si>
    <t>Outer</t>
  </si>
  <si>
    <t>7.9"</t>
  </si>
  <si>
    <t>7.7"</t>
  </si>
  <si>
    <t>7.5"</t>
  </si>
  <si>
    <t>7.3"</t>
  </si>
  <si>
    <t>7.2"</t>
  </si>
  <si>
    <t>7"</t>
  </si>
  <si>
    <t>6.8"</t>
  </si>
  <si>
    <t>6.6"</t>
  </si>
  <si>
    <t>6.5"</t>
  </si>
  <si>
    <t>6.3"</t>
  </si>
  <si>
    <t>6.1"</t>
  </si>
  <si>
    <t>5.9"</t>
  </si>
  <si>
    <t>5.7"</t>
  </si>
  <si>
    <t>5.6"</t>
  </si>
  <si>
    <t>5.5"</t>
  </si>
  <si>
    <t>6.4"</t>
  </si>
  <si>
    <t>8.2"</t>
  </si>
  <si>
    <t>9.4"</t>
  </si>
  <si>
    <t>10.3"</t>
  </si>
  <si>
    <t>11"</t>
  </si>
  <si>
    <t>11.3"</t>
  </si>
  <si>
    <t>11.2"</t>
  </si>
  <si>
    <t>11.4"</t>
  </si>
  <si>
    <t>11.5"</t>
  </si>
  <si>
    <t>11.6"</t>
  </si>
  <si>
    <t>11.7"</t>
  </si>
  <si>
    <t>11.8"</t>
  </si>
  <si>
    <t>Maple</t>
  </si>
  <si>
    <t>Segments of Maple</t>
  </si>
  <si>
    <t>Segments of Wenge</t>
  </si>
  <si>
    <t>Total # of Pieces</t>
  </si>
  <si>
    <t>Purple</t>
  </si>
  <si>
    <t>Yellow</t>
  </si>
  <si>
    <t>Segments of Purpleheart</t>
  </si>
  <si>
    <t>Segments of Yellowheart</t>
  </si>
  <si>
    <t>Strip</t>
  </si>
  <si>
    <t>Maple Area</t>
  </si>
  <si>
    <t>Wenge Area</t>
  </si>
  <si>
    <t>Purp Area</t>
  </si>
  <si>
    <t>Yellow Area</t>
  </si>
  <si>
    <t>Bd Ft of Maple</t>
  </si>
  <si>
    <t>Bd Ft of Wenge</t>
  </si>
  <si>
    <t>Bd Ft of Purpleheart</t>
  </si>
  <si>
    <t>Bd Ft of Yellowheart</t>
  </si>
  <si>
    <t>Total Board Feet</t>
  </si>
  <si>
    <t xml:space="preserve">24*34 = </t>
  </si>
  <si>
    <t>Large Segmented Ashiko: 816 Pieces</t>
  </si>
  <si>
    <t>Dimensions: 25.5" Tall x 11.8" Diameter Head</t>
  </si>
  <si>
    <t>Segments per Ring:</t>
  </si>
  <si>
    <t>Ring Thickness:</t>
  </si>
  <si>
    <t>Angle: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</si>
</sst>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 applyNumberFormat="1" applyFont="1" applyFill="1" applyBorder="1" applyAlignment="1" applyProtection="1"/>
    <xf numFmtId="0" fontId="1" fillId="0" borderId="0" xfId="0" applyFont="1" applyAlignment="1">
      <alignment horizontal="right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2" fontId="0" fillId="0" borderId="0" xfId="0" applyNumberFormat="1" applyFont="1" applyFill="1" applyBorder="1" applyAlignment="1" applyProtection="1"/>
    <xf numFmtId="0" fontId="0" fillId="0" borderId="0" xfId="0" applyNumberFormat="1" applyFont="1" applyFill="1" applyBorder="1" applyAlignment="1" applyProtection="1">
      <alignment horizontal="left"/>
    </xf>
    <xf numFmtId="0" fontId="1" fillId="0" borderId="0" xfId="0" applyNumberFormat="1" applyFont="1" applyFill="1" applyBorder="1" applyAlignment="1" applyProtection="1">
      <alignment horizontal="right"/>
    </xf>
    <xf numFmtId="2" fontId="1" fillId="0" borderId="0" xfId="0" applyNumberFormat="1" applyFont="1" applyAlignment="1">
      <alignment horizontal="right"/>
    </xf>
    <xf numFmtId="0" fontId="1" fillId="0" borderId="0" xfId="0" applyNumberFormat="1" applyFont="1" applyFill="1" applyBorder="1" applyAlignment="1" applyProtection="1"/>
    <xf numFmtId="0" fontId="0" fillId="0" borderId="1" xfId="0" applyNumberFormat="1" applyFont="1" applyFill="1" applyBorder="1" applyAlignment="1" applyProtection="1"/>
    <xf numFmtId="0" fontId="0" fillId="5" borderId="1" xfId="0" applyNumberFormat="1" applyFont="1" applyFill="1" applyBorder="1" applyAlignment="1" applyProtection="1"/>
    <xf numFmtId="0" fontId="0" fillId="3" borderId="1" xfId="0" applyNumberFormat="1" applyFont="1" applyFill="1" applyBorder="1" applyAlignment="1" applyProtection="1"/>
    <xf numFmtId="0" fontId="0" fillId="2" borderId="1" xfId="0" applyNumberFormat="1" applyFont="1" applyFill="1" applyBorder="1" applyAlignment="1" applyProtection="1"/>
    <xf numFmtId="0" fontId="0" fillId="4" borderId="1" xfId="0" applyNumberFormat="1" applyFont="1" applyFill="1" applyBorder="1" applyAlignment="1" applyProtection="1"/>
    <xf numFmtId="2" fontId="0" fillId="0" borderId="1" xfId="0" applyNumberFormat="1" applyFont="1" applyFill="1" applyBorder="1" applyAlignment="1" applyProtection="1"/>
    <xf numFmtId="0" fontId="0" fillId="6" borderId="1" xfId="0" applyNumberFormat="1" applyFont="1" applyFill="1" applyBorder="1" applyAlignment="1" applyProtection="1"/>
    <xf numFmtId="0" fontId="2" fillId="0" borderId="0" xfId="0" applyFont="1"/>
    <xf numFmtId="0" fontId="0" fillId="0" borderId="0" xfId="0" applyNumberFormat="1" applyFont="1" applyFill="1" applyBorder="1" applyAlignment="1" applyProtection="1">
      <alignment horizontal="left" indent="1"/>
    </xf>
    <xf numFmtId="0" fontId="1" fillId="0" borderId="0" xfId="0" applyFont="1" applyAlignment="1"/>
    <xf numFmtId="0" fontId="1" fillId="0" borderId="2" xfId="0" applyFont="1" applyBorder="1" applyAlignment="1">
      <alignment horizontal="right"/>
    </xf>
    <xf numFmtId="0" fontId="0" fillId="0" borderId="0" xfId="0" applyNumberFormat="1" applyFont="1" applyFill="1" applyBorder="1" applyAlignment="1" applyProtection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177800</xdr:colOff>
      <xdr:row>2</xdr:row>
      <xdr:rowOff>31750</xdr:rowOff>
    </xdr:from>
    <xdr:to>
      <xdr:col>19</xdr:col>
      <xdr:colOff>478501</xdr:colOff>
      <xdr:row>35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D6C5CEB-31F8-4B51-9C15-67EBE0EEE4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97650" y="215900"/>
          <a:ext cx="3799551" cy="6178550"/>
        </a:xfrm>
        <a:prstGeom prst="rect">
          <a:avLst/>
        </a:prstGeom>
      </xdr:spPr>
    </xdr:pic>
    <xdr:clientData/>
  </xdr:twoCellAnchor>
  <xdr:twoCellAnchor editAs="oneCell">
    <xdr:from>
      <xdr:col>15</xdr:col>
      <xdr:colOff>6349</xdr:colOff>
      <xdr:row>35</xdr:row>
      <xdr:rowOff>101600</xdr:rowOff>
    </xdr:from>
    <xdr:to>
      <xdr:col>18</xdr:col>
      <xdr:colOff>311150</xdr:colOff>
      <xdr:row>42</xdr:row>
      <xdr:rowOff>129100</xdr:rowOff>
    </xdr:to>
    <xdr:pic>
      <xdr:nvPicPr>
        <xdr:cNvPr id="4" name="Graphic 3">
          <a:extLst>
            <a:ext uri="{FF2B5EF4-FFF2-40B4-BE49-F238E27FC236}">
              <a16:creationId xmlns:a16="http://schemas.microsoft.com/office/drawing/2014/main" id="{A43A38A2-318B-4902-9FD4-6B817A8B54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6883399" y="6546850"/>
          <a:ext cx="2247901" cy="1291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noFill/>
        <a:noFill/>
        <a:noFill/>
      </a:fillStyleLst>
      <a:lnStyleLst>
        <a:ln/>
        <a:ln/>
        <a:ln/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noFill/>
        <a:noFill/>
        <a:noFill/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42"/>
  <sheetViews>
    <sheetView tabSelected="1" workbookViewId="0">
      <selection activeCell="U11" sqref="U11"/>
    </sheetView>
  </sheetViews>
  <sheetFormatPr defaultColWidth="9.26953125" defaultRowHeight="14.5" x14ac:dyDescent="0.35"/>
  <cols>
    <col min="1" max="1" width="4.453125" bestFit="1" customWidth="1"/>
    <col min="2" max="2" width="5.90625" bestFit="1" customWidth="1"/>
    <col min="3" max="3" width="6.36328125" bestFit="1" customWidth="1"/>
    <col min="4" max="4" width="8" bestFit="1" customWidth="1"/>
    <col min="5" max="5" width="8.453125" customWidth="1"/>
    <col min="6" max="6" width="7.08984375" customWidth="1"/>
    <col min="7" max="7" width="6.90625" bestFit="1" customWidth="1"/>
    <col min="8" max="8" width="6.453125" customWidth="1"/>
    <col min="9" max="9" width="6.6328125" bestFit="1" customWidth="1"/>
    <col min="10" max="10" width="6.36328125" bestFit="1" customWidth="1"/>
    <col min="11" max="11" width="6.1796875" bestFit="1" customWidth="1"/>
    <col min="12" max="12" width="6.36328125" bestFit="1" customWidth="1"/>
    <col min="13" max="13" width="6.26953125" customWidth="1"/>
    <col min="14" max="14" width="7.1796875" bestFit="1" customWidth="1"/>
    <col min="15" max="15" width="5.81640625" bestFit="1" customWidth="1"/>
  </cols>
  <sheetData>
    <row r="1" spans="1:27" x14ac:dyDescent="0.35">
      <c r="A1" s="16" t="s">
        <v>57</v>
      </c>
      <c r="G1" s="3" t="s">
        <v>59</v>
      </c>
      <c r="H1" s="5">
        <v>24</v>
      </c>
      <c r="I1" s="20"/>
      <c r="J1" s="3" t="s">
        <v>60</v>
      </c>
      <c r="K1" s="2">
        <v>0.75</v>
      </c>
      <c r="L1" s="3" t="s">
        <v>61</v>
      </c>
      <c r="M1" s="2" t="s">
        <v>8</v>
      </c>
      <c r="P1" s="18"/>
    </row>
    <row r="2" spans="1:27" x14ac:dyDescent="0.35">
      <c r="A2" s="9"/>
      <c r="B2" s="9" t="s">
        <v>1</v>
      </c>
      <c r="C2" s="9" t="s">
        <v>1</v>
      </c>
      <c r="D2" s="9" t="s">
        <v>4</v>
      </c>
      <c r="E2" s="9" t="s">
        <v>9</v>
      </c>
      <c r="F2" s="9" t="s">
        <v>6</v>
      </c>
      <c r="G2" s="9" t="s">
        <v>46</v>
      </c>
      <c r="H2" s="9"/>
      <c r="I2" s="9" t="s">
        <v>46</v>
      </c>
      <c r="J2" s="9"/>
      <c r="K2" s="9" t="s">
        <v>46</v>
      </c>
      <c r="L2" s="9"/>
      <c r="M2" s="9" t="s">
        <v>46</v>
      </c>
      <c r="O2" s="17" t="s">
        <v>58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35">
      <c r="A3" s="9" t="s">
        <v>0</v>
      </c>
      <c r="B3" s="9" t="s">
        <v>2</v>
      </c>
      <c r="C3" s="9" t="s">
        <v>3</v>
      </c>
      <c r="D3" s="9" t="s">
        <v>5</v>
      </c>
      <c r="E3" s="9" t="s">
        <v>10</v>
      </c>
      <c r="F3" s="10" t="s">
        <v>38</v>
      </c>
      <c r="G3" s="10" t="s">
        <v>3</v>
      </c>
      <c r="H3" s="11" t="s">
        <v>7</v>
      </c>
      <c r="I3" s="11" t="s">
        <v>3</v>
      </c>
      <c r="J3" s="12" t="s">
        <v>42</v>
      </c>
      <c r="K3" s="12" t="s">
        <v>3</v>
      </c>
      <c r="L3" s="13" t="s">
        <v>43</v>
      </c>
      <c r="M3" s="13" t="s">
        <v>3</v>
      </c>
    </row>
    <row r="4" spans="1:27" x14ac:dyDescent="0.35">
      <c r="A4" s="9">
        <v>1</v>
      </c>
      <c r="B4" s="14">
        <v>1</v>
      </c>
      <c r="C4" s="9">
        <v>17</v>
      </c>
      <c r="D4" s="14">
        <v>1.0369999999999999</v>
      </c>
      <c r="E4" s="9" t="s">
        <v>11</v>
      </c>
      <c r="F4" s="10">
        <v>8</v>
      </c>
      <c r="G4" s="10">
        <v>8.4</v>
      </c>
      <c r="H4" s="11">
        <v>8</v>
      </c>
      <c r="I4" s="11">
        <v>5.6</v>
      </c>
      <c r="J4" s="12">
        <v>4</v>
      </c>
      <c r="K4" s="12">
        <v>3.2</v>
      </c>
      <c r="L4" s="13">
        <v>4</v>
      </c>
      <c r="M4" s="13">
        <v>2.7</v>
      </c>
      <c r="X4">
        <f>B4*G4</f>
        <v>8.4</v>
      </c>
      <c r="Y4">
        <f>B4*I4</f>
        <v>5.6</v>
      </c>
      <c r="Z4">
        <f>B4*K4</f>
        <v>3.2</v>
      </c>
      <c r="AA4">
        <f>B4*M4</f>
        <v>2.7</v>
      </c>
    </row>
    <row r="5" spans="1:27" x14ac:dyDescent="0.35">
      <c r="A5" s="9">
        <v>2</v>
      </c>
      <c r="B5" s="14">
        <v>1</v>
      </c>
      <c r="C5" s="9">
        <v>17.399999999999999</v>
      </c>
      <c r="D5" s="14">
        <v>1.014</v>
      </c>
      <c r="E5" s="9" t="s">
        <v>12</v>
      </c>
      <c r="F5" s="15"/>
      <c r="G5" s="15"/>
      <c r="H5" s="11">
        <v>8</v>
      </c>
      <c r="I5" s="11">
        <v>5.7</v>
      </c>
      <c r="J5" s="12">
        <v>8</v>
      </c>
      <c r="K5" s="12">
        <v>5.7</v>
      </c>
      <c r="L5" s="13">
        <v>8</v>
      </c>
      <c r="M5" s="13">
        <v>5.7</v>
      </c>
      <c r="X5">
        <f>B5*G5</f>
        <v>0</v>
      </c>
      <c r="Y5">
        <f>B5*I5</f>
        <v>5.7</v>
      </c>
      <c r="Z5">
        <f>B5*K5</f>
        <v>5.7</v>
      </c>
      <c r="AA5">
        <f>B5*M5</f>
        <v>5.7</v>
      </c>
    </row>
    <row r="6" spans="1:27" x14ac:dyDescent="0.35">
      <c r="A6" s="9">
        <v>3</v>
      </c>
      <c r="B6" s="14">
        <v>1</v>
      </c>
      <c r="C6" s="9">
        <v>17.899999999999999</v>
      </c>
      <c r="D6" s="14">
        <v>0.99</v>
      </c>
      <c r="E6" s="9" t="s">
        <v>13</v>
      </c>
      <c r="F6" s="10">
        <v>8</v>
      </c>
      <c r="G6" s="10">
        <v>5.9</v>
      </c>
      <c r="H6" s="11">
        <v>8</v>
      </c>
      <c r="I6" s="11">
        <v>5.9</v>
      </c>
      <c r="J6" s="12">
        <v>4</v>
      </c>
      <c r="K6" s="12">
        <v>2.9</v>
      </c>
      <c r="L6" s="13">
        <v>4</v>
      </c>
      <c r="M6" s="13">
        <v>2.9</v>
      </c>
      <c r="X6">
        <f>B6*G6</f>
        <v>5.9</v>
      </c>
      <c r="Y6">
        <f>B6*I6</f>
        <v>5.9</v>
      </c>
      <c r="Z6">
        <f>B6*K6</f>
        <v>2.9</v>
      </c>
      <c r="AA6">
        <f>B6*M6</f>
        <v>2.9</v>
      </c>
    </row>
    <row r="7" spans="1:27" x14ac:dyDescent="0.35">
      <c r="A7" s="9">
        <v>4</v>
      </c>
      <c r="B7" s="14">
        <v>1</v>
      </c>
      <c r="C7" s="9">
        <v>18.399999999999999</v>
      </c>
      <c r="D7" s="14">
        <v>0.96599999999999997</v>
      </c>
      <c r="E7" s="9" t="s">
        <v>14</v>
      </c>
      <c r="F7" s="10">
        <v>16</v>
      </c>
      <c r="G7" s="10">
        <v>12.2</v>
      </c>
      <c r="H7" s="11">
        <v>8</v>
      </c>
      <c r="I7" s="11">
        <v>6.1</v>
      </c>
      <c r="J7" s="15"/>
      <c r="K7" s="15"/>
      <c r="L7" s="15"/>
      <c r="M7" s="15"/>
      <c r="X7">
        <f>B7*G7</f>
        <v>12.2</v>
      </c>
      <c r="Y7">
        <f>B7*I7</f>
        <v>6.1</v>
      </c>
      <c r="Z7">
        <f>B7*K7</f>
        <v>0</v>
      </c>
      <c r="AA7">
        <f>B7*M7</f>
        <v>0</v>
      </c>
    </row>
    <row r="8" spans="1:27" x14ac:dyDescent="0.35">
      <c r="A8" s="9">
        <v>5</v>
      </c>
      <c r="B8" s="14">
        <v>1</v>
      </c>
      <c r="C8" s="9">
        <v>18.899999999999999</v>
      </c>
      <c r="D8" s="14">
        <v>0.94299999999999995</v>
      </c>
      <c r="E8" s="9" t="s">
        <v>15</v>
      </c>
      <c r="F8" s="10">
        <v>8</v>
      </c>
      <c r="G8" s="10">
        <v>6.2</v>
      </c>
      <c r="H8" s="11">
        <v>8</v>
      </c>
      <c r="I8" s="11">
        <v>6.2</v>
      </c>
      <c r="J8" s="12">
        <v>4</v>
      </c>
      <c r="K8" s="12">
        <v>3</v>
      </c>
      <c r="L8" s="13">
        <v>4</v>
      </c>
      <c r="M8" s="13">
        <v>3</v>
      </c>
      <c r="X8">
        <f>B8*G8</f>
        <v>6.2</v>
      </c>
      <c r="Y8">
        <f>B8*I8</f>
        <v>6.2</v>
      </c>
      <c r="Z8">
        <f>B8*K8</f>
        <v>3</v>
      </c>
      <c r="AA8">
        <f>B8*M8</f>
        <v>3</v>
      </c>
    </row>
    <row r="9" spans="1:27" x14ac:dyDescent="0.35">
      <c r="A9" s="9">
        <v>6</v>
      </c>
      <c r="B9" s="14">
        <v>1</v>
      </c>
      <c r="C9" s="9">
        <v>19.3</v>
      </c>
      <c r="D9" s="14">
        <v>0.91900000000000004</v>
      </c>
      <c r="E9" s="9" t="s">
        <v>16</v>
      </c>
      <c r="F9" s="15"/>
      <c r="G9" s="15"/>
      <c r="H9" s="11">
        <v>8</v>
      </c>
      <c r="I9" s="11">
        <v>6.4</v>
      </c>
      <c r="J9" s="12">
        <v>8</v>
      </c>
      <c r="K9" s="12">
        <v>6.4</v>
      </c>
      <c r="L9" s="13">
        <v>8</v>
      </c>
      <c r="M9" s="13">
        <v>6.4</v>
      </c>
      <c r="X9">
        <f>B9*G9</f>
        <v>0</v>
      </c>
      <c r="Y9">
        <f>B9*I9</f>
        <v>6.4</v>
      </c>
      <c r="Z9">
        <f>B9*K9</f>
        <v>6.4</v>
      </c>
      <c r="AA9">
        <f>B9*M9</f>
        <v>6.4</v>
      </c>
    </row>
    <row r="10" spans="1:27" x14ac:dyDescent="0.35">
      <c r="A10" s="9">
        <v>7</v>
      </c>
      <c r="B10" s="14">
        <v>1</v>
      </c>
      <c r="C10" s="9">
        <v>19.7</v>
      </c>
      <c r="D10" s="14">
        <v>0.89500000000000002</v>
      </c>
      <c r="E10" s="9" t="s">
        <v>17</v>
      </c>
      <c r="F10" s="10">
        <v>8</v>
      </c>
      <c r="G10" s="10">
        <v>6.5</v>
      </c>
      <c r="H10" s="11">
        <v>8</v>
      </c>
      <c r="I10" s="11">
        <v>6.5</v>
      </c>
      <c r="J10" s="12">
        <v>4</v>
      </c>
      <c r="K10" s="12">
        <v>3.2</v>
      </c>
      <c r="L10" s="13">
        <v>4</v>
      </c>
      <c r="M10" s="13">
        <v>3.2</v>
      </c>
      <c r="X10">
        <f>B10*G10</f>
        <v>6.5</v>
      </c>
      <c r="Y10">
        <f>B10*I10</f>
        <v>6.5</v>
      </c>
      <c r="Z10">
        <f>B10*K10</f>
        <v>3.2</v>
      </c>
      <c r="AA10">
        <f>B10*M10</f>
        <v>3.2</v>
      </c>
    </row>
    <row r="11" spans="1:27" x14ac:dyDescent="0.35">
      <c r="A11" s="9">
        <v>8</v>
      </c>
      <c r="B11" s="14">
        <v>1</v>
      </c>
      <c r="C11" s="9">
        <v>20</v>
      </c>
      <c r="D11" s="14">
        <v>0.874</v>
      </c>
      <c r="E11" s="9" t="s">
        <v>18</v>
      </c>
      <c r="F11" s="10">
        <v>16</v>
      </c>
      <c r="G11" s="10">
        <v>13.3</v>
      </c>
      <c r="H11" s="11">
        <v>8</v>
      </c>
      <c r="I11" s="11">
        <v>6.6</v>
      </c>
      <c r="J11" s="15"/>
      <c r="K11" s="15"/>
      <c r="L11" s="15"/>
      <c r="M11" s="15"/>
      <c r="X11">
        <f>B11*G11</f>
        <v>13.3</v>
      </c>
      <c r="Y11">
        <f>B11*I11</f>
        <v>6.6</v>
      </c>
      <c r="Z11">
        <f>B11*K11</f>
        <v>0</v>
      </c>
      <c r="AA11">
        <f>B11*M11</f>
        <v>0</v>
      </c>
    </row>
    <row r="12" spans="1:27" x14ac:dyDescent="0.35">
      <c r="A12" s="9">
        <v>9</v>
      </c>
      <c r="B12" s="14">
        <v>1</v>
      </c>
      <c r="C12" s="9">
        <v>20.2</v>
      </c>
      <c r="D12" s="14">
        <v>0.85299999999999998</v>
      </c>
      <c r="E12" s="9" t="s">
        <v>19</v>
      </c>
      <c r="F12" s="10">
        <v>8</v>
      </c>
      <c r="G12" s="10">
        <v>6.6</v>
      </c>
      <c r="H12" s="11">
        <v>8</v>
      </c>
      <c r="I12" s="11">
        <v>6.6</v>
      </c>
      <c r="J12" s="12">
        <v>4</v>
      </c>
      <c r="K12" s="12">
        <v>3.3</v>
      </c>
      <c r="L12" s="13">
        <v>4</v>
      </c>
      <c r="M12" s="13">
        <v>3.3</v>
      </c>
      <c r="X12">
        <f>B12*G12</f>
        <v>6.6</v>
      </c>
      <c r="Y12">
        <f>B12*I12</f>
        <v>6.6</v>
      </c>
      <c r="Z12">
        <f>B12*K12</f>
        <v>3.3</v>
      </c>
      <c r="AA12">
        <f>B12*M12</f>
        <v>3.3</v>
      </c>
    </row>
    <row r="13" spans="1:27" x14ac:dyDescent="0.35">
      <c r="A13" s="9">
        <v>10</v>
      </c>
      <c r="B13" s="14">
        <v>1.1499999999999999</v>
      </c>
      <c r="C13" s="9">
        <v>19.399999999999999</v>
      </c>
      <c r="D13" s="14">
        <v>0.82899999999999996</v>
      </c>
      <c r="E13" s="9" t="s">
        <v>20</v>
      </c>
      <c r="F13" s="15"/>
      <c r="G13" s="15"/>
      <c r="H13" s="11">
        <v>8</v>
      </c>
      <c r="I13" s="11">
        <v>6.4</v>
      </c>
      <c r="J13" s="12">
        <v>8</v>
      </c>
      <c r="K13" s="12">
        <v>6.4</v>
      </c>
      <c r="L13" s="13">
        <v>8</v>
      </c>
      <c r="M13" s="13">
        <v>6.4</v>
      </c>
      <c r="X13">
        <f>B13*G13</f>
        <v>0</v>
      </c>
      <c r="Y13">
        <f>B13*I13</f>
        <v>7.3599999999999994</v>
      </c>
      <c r="Z13">
        <f>B13*K13</f>
        <v>7.3599999999999994</v>
      </c>
      <c r="AA13">
        <f>B13*M13</f>
        <v>7.3599999999999994</v>
      </c>
    </row>
    <row r="14" spans="1:27" x14ac:dyDescent="0.35">
      <c r="A14" s="9">
        <v>11</v>
      </c>
      <c r="B14" s="14">
        <v>1.2</v>
      </c>
      <c r="C14" s="9">
        <v>18.399999999999999</v>
      </c>
      <c r="D14" s="14">
        <v>0.80300000000000005</v>
      </c>
      <c r="E14" s="9" t="s">
        <v>21</v>
      </c>
      <c r="F14" s="10">
        <v>8</v>
      </c>
      <c r="G14" s="10">
        <v>6</v>
      </c>
      <c r="H14" s="11">
        <v>8</v>
      </c>
      <c r="I14" s="11">
        <v>6</v>
      </c>
      <c r="J14" s="12">
        <v>4</v>
      </c>
      <c r="K14" s="12">
        <v>3</v>
      </c>
      <c r="L14" s="13">
        <v>4</v>
      </c>
      <c r="M14" s="13">
        <v>3</v>
      </c>
      <c r="X14">
        <f>B14*G14</f>
        <v>7.1999999999999993</v>
      </c>
      <c r="Y14">
        <f>B14*I14</f>
        <v>7.1999999999999993</v>
      </c>
      <c r="Z14">
        <f>B14*K14</f>
        <v>3.5999999999999996</v>
      </c>
      <c r="AA14">
        <f>B14*M14</f>
        <v>3.5999999999999996</v>
      </c>
    </row>
    <row r="15" spans="1:27" x14ac:dyDescent="0.35">
      <c r="A15" s="9">
        <v>12</v>
      </c>
      <c r="B15" s="14">
        <v>1.35</v>
      </c>
      <c r="C15" s="9">
        <v>17.2</v>
      </c>
      <c r="D15" s="14">
        <v>0.77700000000000002</v>
      </c>
      <c r="E15" s="9" t="s">
        <v>22</v>
      </c>
      <c r="F15" s="10">
        <v>16</v>
      </c>
      <c r="G15" s="10">
        <v>11.4</v>
      </c>
      <c r="H15" s="11">
        <v>8</v>
      </c>
      <c r="I15" s="11">
        <v>5.7</v>
      </c>
      <c r="J15" s="15"/>
      <c r="K15" s="15"/>
      <c r="L15" s="15"/>
      <c r="M15" s="15"/>
      <c r="X15">
        <f>B15*G15</f>
        <v>15.390000000000002</v>
      </c>
      <c r="Y15">
        <f>B15*I15</f>
        <v>7.6950000000000012</v>
      </c>
      <c r="Z15">
        <f>B15*K15</f>
        <v>0</v>
      </c>
      <c r="AA15">
        <f>B15*M15</f>
        <v>0</v>
      </c>
    </row>
    <row r="16" spans="1:27" x14ac:dyDescent="0.35">
      <c r="A16" s="9">
        <v>13</v>
      </c>
      <c r="B16" s="14">
        <v>1.55</v>
      </c>
      <c r="C16" s="9">
        <v>16.100000000000001</v>
      </c>
      <c r="D16" s="14">
        <v>0.753</v>
      </c>
      <c r="E16" s="9" t="s">
        <v>23</v>
      </c>
      <c r="F16" s="10">
        <v>8</v>
      </c>
      <c r="G16" s="10">
        <v>5.3</v>
      </c>
      <c r="H16" s="11">
        <v>8</v>
      </c>
      <c r="I16" s="11">
        <v>5.3</v>
      </c>
      <c r="J16" s="12">
        <v>4</v>
      </c>
      <c r="K16" s="12">
        <v>2.6</v>
      </c>
      <c r="L16" s="13">
        <v>4</v>
      </c>
      <c r="M16" s="13">
        <v>2.6</v>
      </c>
      <c r="X16">
        <f>B16*G16</f>
        <v>8.2149999999999999</v>
      </c>
      <c r="Y16">
        <f>B16*I16</f>
        <v>8.2149999999999999</v>
      </c>
      <c r="Z16">
        <f>B16*K16</f>
        <v>4.03</v>
      </c>
      <c r="AA16">
        <f>B16*M16</f>
        <v>4.03</v>
      </c>
    </row>
    <row r="17" spans="1:27" x14ac:dyDescent="0.35">
      <c r="A17" s="9">
        <v>14</v>
      </c>
      <c r="B17" s="14">
        <v>1.65</v>
      </c>
      <c r="C17" s="9">
        <v>15.2</v>
      </c>
      <c r="D17" s="14">
        <v>0.73199999999999998</v>
      </c>
      <c r="E17" s="9" t="s">
        <v>24</v>
      </c>
      <c r="F17" s="15"/>
      <c r="G17" s="15"/>
      <c r="H17" s="11">
        <v>8</v>
      </c>
      <c r="I17" s="11">
        <v>5</v>
      </c>
      <c r="J17" s="12">
        <v>8</v>
      </c>
      <c r="K17" s="12">
        <v>5</v>
      </c>
      <c r="L17" s="13">
        <v>8</v>
      </c>
      <c r="M17" s="13">
        <v>5</v>
      </c>
      <c r="X17">
        <f>B17*G17</f>
        <v>0</v>
      </c>
      <c r="Y17">
        <f>B17*I17</f>
        <v>8.25</v>
      </c>
      <c r="Z17">
        <f>B17*K17</f>
        <v>8.25</v>
      </c>
      <c r="AA17">
        <f>B17*M17</f>
        <v>8.25</v>
      </c>
    </row>
    <row r="18" spans="1:27" x14ac:dyDescent="0.35">
      <c r="A18" s="9">
        <v>15</v>
      </c>
      <c r="B18" s="14">
        <v>1.75</v>
      </c>
      <c r="C18" s="9">
        <v>14.9</v>
      </c>
      <c r="D18" s="14">
        <v>0.72899999999999998</v>
      </c>
      <c r="E18" s="9" t="s">
        <v>25</v>
      </c>
      <c r="F18" s="10">
        <v>8</v>
      </c>
      <c r="G18" s="10">
        <v>4.9000000000000004</v>
      </c>
      <c r="H18" s="11">
        <v>8</v>
      </c>
      <c r="I18" s="11">
        <v>4.9000000000000004</v>
      </c>
      <c r="J18" s="12">
        <v>4</v>
      </c>
      <c r="K18" s="12">
        <v>2.4</v>
      </c>
      <c r="L18" s="13">
        <v>4</v>
      </c>
      <c r="M18" s="13">
        <v>2.4</v>
      </c>
      <c r="X18">
        <f>B18*G18</f>
        <v>8.5750000000000011</v>
      </c>
      <c r="Y18">
        <f>B18*I18</f>
        <v>8.5750000000000011</v>
      </c>
      <c r="Z18">
        <f>B18*K18</f>
        <v>4.2</v>
      </c>
      <c r="AA18">
        <f>B18*M18</f>
        <v>4.2</v>
      </c>
    </row>
    <row r="19" spans="1:27" x14ac:dyDescent="0.35">
      <c r="A19" s="9">
        <v>16</v>
      </c>
      <c r="B19" s="14">
        <v>2.15</v>
      </c>
      <c r="C19" s="9">
        <v>16.2</v>
      </c>
      <c r="D19" s="14">
        <v>0.83699999999999997</v>
      </c>
      <c r="E19" s="9" t="s">
        <v>26</v>
      </c>
      <c r="F19" s="10">
        <v>16</v>
      </c>
      <c r="G19" s="10">
        <v>10.8</v>
      </c>
      <c r="H19" s="11">
        <v>8</v>
      </c>
      <c r="I19" s="11">
        <v>5.3</v>
      </c>
      <c r="J19" s="15"/>
      <c r="K19" s="15"/>
      <c r="L19" s="15"/>
      <c r="M19" s="15"/>
      <c r="X19">
        <f>B19*G19</f>
        <v>23.22</v>
      </c>
      <c r="Y19">
        <f>B19*I19</f>
        <v>11.395</v>
      </c>
      <c r="Z19">
        <f>B19*K19</f>
        <v>0</v>
      </c>
      <c r="AA19">
        <f>B19*M19</f>
        <v>0</v>
      </c>
    </row>
    <row r="20" spans="1:27" x14ac:dyDescent="0.35">
      <c r="A20" s="9">
        <v>17</v>
      </c>
      <c r="B20" s="14">
        <v>2.65</v>
      </c>
      <c r="C20" s="9">
        <v>20.5</v>
      </c>
      <c r="D20" s="14">
        <v>1.0820000000000001</v>
      </c>
      <c r="E20" s="9" t="s">
        <v>27</v>
      </c>
      <c r="F20" s="10">
        <v>8</v>
      </c>
      <c r="G20" s="10">
        <v>6.7</v>
      </c>
      <c r="H20" s="11">
        <v>8</v>
      </c>
      <c r="I20" s="11">
        <v>6.7</v>
      </c>
      <c r="J20" s="12">
        <v>4</v>
      </c>
      <c r="K20" s="12">
        <v>3.3</v>
      </c>
      <c r="L20" s="13">
        <v>4</v>
      </c>
      <c r="M20" s="13">
        <v>3.3</v>
      </c>
      <c r="X20">
        <f>B20*G20</f>
        <v>17.754999999999999</v>
      </c>
      <c r="Y20">
        <f>B20*I20</f>
        <v>17.754999999999999</v>
      </c>
      <c r="Z20">
        <f>B20*K20</f>
        <v>8.7449999999999992</v>
      </c>
      <c r="AA20">
        <f>B20*M20</f>
        <v>8.7449999999999992</v>
      </c>
    </row>
    <row r="21" spans="1:27" x14ac:dyDescent="0.35">
      <c r="A21" s="9">
        <v>18</v>
      </c>
      <c r="B21" s="14">
        <v>2</v>
      </c>
      <c r="C21" s="9">
        <v>26.2</v>
      </c>
      <c r="D21" s="14">
        <v>1.238</v>
      </c>
      <c r="E21" s="9" t="s">
        <v>28</v>
      </c>
      <c r="F21" s="15"/>
      <c r="G21" s="15"/>
      <c r="H21" s="11">
        <v>8</v>
      </c>
      <c r="I21" s="11">
        <v>8.6999999999999993</v>
      </c>
      <c r="J21" s="12">
        <v>8</v>
      </c>
      <c r="K21" s="12">
        <v>8.6999999999999993</v>
      </c>
      <c r="L21" s="13">
        <v>8</v>
      </c>
      <c r="M21" s="13">
        <v>8.6999999999999993</v>
      </c>
      <c r="X21">
        <f>B21*G21</f>
        <v>0</v>
      </c>
      <c r="Y21">
        <f>B21*I21</f>
        <v>17.399999999999999</v>
      </c>
      <c r="Z21">
        <f>B21*K21</f>
        <v>17.399999999999999</v>
      </c>
      <c r="AA21">
        <f>B21*M21</f>
        <v>17.399999999999999</v>
      </c>
    </row>
    <row r="22" spans="1:27" x14ac:dyDescent="0.35">
      <c r="A22" s="9">
        <v>19</v>
      </c>
      <c r="B22" s="14">
        <v>1.65</v>
      </c>
      <c r="C22" s="9">
        <v>30.3</v>
      </c>
      <c r="D22" s="14">
        <v>1.359</v>
      </c>
      <c r="E22" s="9" t="s">
        <v>29</v>
      </c>
      <c r="F22" s="10">
        <v>8</v>
      </c>
      <c r="G22" s="10">
        <v>10</v>
      </c>
      <c r="H22" s="11">
        <v>8</v>
      </c>
      <c r="I22" s="11">
        <v>10</v>
      </c>
      <c r="J22" s="12">
        <v>4</v>
      </c>
      <c r="K22" s="12">
        <v>4.9000000000000004</v>
      </c>
      <c r="L22" s="13">
        <v>4</v>
      </c>
      <c r="M22" s="13">
        <v>4.9000000000000004</v>
      </c>
      <c r="X22">
        <f>B22*G22</f>
        <v>16.5</v>
      </c>
      <c r="Y22">
        <f>B22*I22</f>
        <v>16.5</v>
      </c>
      <c r="Z22">
        <f>B22*K22</f>
        <v>8.0850000000000009</v>
      </c>
      <c r="AA22">
        <f>B22*M22</f>
        <v>8.0850000000000009</v>
      </c>
    </row>
    <row r="23" spans="1:27" x14ac:dyDescent="0.35">
      <c r="A23" s="9">
        <v>20</v>
      </c>
      <c r="B23" s="14">
        <v>1.45</v>
      </c>
      <c r="C23" s="9">
        <v>33.299999999999997</v>
      </c>
      <c r="D23" s="14">
        <v>1.4530000000000001</v>
      </c>
      <c r="E23" s="9" t="s">
        <v>30</v>
      </c>
      <c r="F23" s="10">
        <v>16</v>
      </c>
      <c r="G23" s="10">
        <v>22.2</v>
      </c>
      <c r="H23" s="11">
        <v>8</v>
      </c>
      <c r="I23" s="11">
        <v>11</v>
      </c>
      <c r="J23" s="15"/>
      <c r="K23" s="15"/>
      <c r="L23" s="15"/>
      <c r="M23" s="15"/>
      <c r="X23">
        <f>B23*G23</f>
        <v>32.19</v>
      </c>
      <c r="Y23">
        <f>B23*I23</f>
        <v>15.95</v>
      </c>
      <c r="Z23">
        <f>B23*K23</f>
        <v>0</v>
      </c>
      <c r="AA23">
        <f>B23*M23</f>
        <v>0</v>
      </c>
    </row>
    <row r="24" spans="1:27" x14ac:dyDescent="0.35">
      <c r="A24" s="9">
        <v>21</v>
      </c>
      <c r="B24" s="14">
        <v>1.1000000000000001</v>
      </c>
      <c r="C24" s="9">
        <v>35.200000000000003</v>
      </c>
      <c r="D24" s="14">
        <v>1.49</v>
      </c>
      <c r="E24" s="9" t="s">
        <v>31</v>
      </c>
      <c r="F24" s="10">
        <v>8</v>
      </c>
      <c r="G24" s="10">
        <v>11.7</v>
      </c>
      <c r="H24" s="11">
        <v>8</v>
      </c>
      <c r="I24" s="11">
        <v>11.7</v>
      </c>
      <c r="J24" s="12">
        <v>4</v>
      </c>
      <c r="K24" s="12">
        <v>5.8</v>
      </c>
      <c r="L24" s="13">
        <v>4</v>
      </c>
      <c r="M24" s="13">
        <v>5.8</v>
      </c>
      <c r="X24">
        <f>B24*G24</f>
        <v>12.870000000000001</v>
      </c>
      <c r="Y24">
        <f>B24*I24</f>
        <v>12.870000000000001</v>
      </c>
      <c r="Z24">
        <f>B24*K24</f>
        <v>6.38</v>
      </c>
      <c r="AA24">
        <f>B24*M24</f>
        <v>6.38</v>
      </c>
    </row>
    <row r="25" spans="1:27" x14ac:dyDescent="0.35">
      <c r="A25" s="9">
        <v>22</v>
      </c>
      <c r="B25" s="14">
        <v>1</v>
      </c>
      <c r="C25" s="9">
        <v>35.799999999999997</v>
      </c>
      <c r="D25" s="14">
        <v>1.49</v>
      </c>
      <c r="E25" s="9" t="s">
        <v>31</v>
      </c>
      <c r="F25" s="15"/>
      <c r="G25" s="15"/>
      <c r="H25" s="11">
        <v>8</v>
      </c>
      <c r="I25" s="11">
        <v>11.8</v>
      </c>
      <c r="J25" s="12">
        <v>8</v>
      </c>
      <c r="K25" s="12">
        <v>11.8</v>
      </c>
      <c r="L25" s="13">
        <v>8</v>
      </c>
      <c r="M25" s="13">
        <v>11.8</v>
      </c>
      <c r="X25">
        <f>B25*G25</f>
        <v>0</v>
      </c>
      <c r="Y25">
        <f>B25*I25</f>
        <v>11.8</v>
      </c>
      <c r="Z25">
        <f>B25*K25</f>
        <v>11.8</v>
      </c>
      <c r="AA25">
        <f>B25*M25</f>
        <v>11.8</v>
      </c>
    </row>
    <row r="26" spans="1:27" x14ac:dyDescent="0.35">
      <c r="A26" s="9">
        <v>23</v>
      </c>
      <c r="B26" s="14">
        <v>1</v>
      </c>
      <c r="C26" s="9">
        <v>35.5</v>
      </c>
      <c r="D26" s="14">
        <v>1.488</v>
      </c>
      <c r="E26" s="9" t="s">
        <v>31</v>
      </c>
      <c r="F26" s="10">
        <v>8</v>
      </c>
      <c r="G26" s="10">
        <v>11.8</v>
      </c>
      <c r="H26" s="11">
        <v>8</v>
      </c>
      <c r="I26" s="11">
        <v>11.8</v>
      </c>
      <c r="J26" s="12">
        <v>4</v>
      </c>
      <c r="K26" s="12">
        <v>5.8</v>
      </c>
      <c r="L26" s="13">
        <v>4</v>
      </c>
      <c r="M26" s="13">
        <v>5.8</v>
      </c>
      <c r="X26">
        <f>B26*G26</f>
        <v>11.8</v>
      </c>
      <c r="Y26">
        <f>B26*I26</f>
        <v>11.8</v>
      </c>
      <c r="Z26">
        <f>B26*K26</f>
        <v>5.8</v>
      </c>
      <c r="AA26">
        <f>B26*M26</f>
        <v>5.8</v>
      </c>
    </row>
    <row r="27" spans="1:27" x14ac:dyDescent="0.35">
      <c r="A27" s="9">
        <v>24</v>
      </c>
      <c r="B27" s="14">
        <v>1</v>
      </c>
      <c r="C27" s="9">
        <v>35.4</v>
      </c>
      <c r="D27" s="14">
        <v>1.49</v>
      </c>
      <c r="E27" s="9" t="s">
        <v>32</v>
      </c>
      <c r="F27" s="10">
        <v>16</v>
      </c>
      <c r="G27" s="10">
        <v>23.5</v>
      </c>
      <c r="H27" s="11">
        <v>8</v>
      </c>
      <c r="I27" s="11">
        <v>11.7</v>
      </c>
      <c r="J27" s="15"/>
      <c r="K27" s="15"/>
      <c r="L27" s="15"/>
      <c r="M27" s="15"/>
      <c r="X27">
        <f>B27*G27</f>
        <v>23.5</v>
      </c>
      <c r="Y27">
        <f>B27*I27</f>
        <v>11.7</v>
      </c>
      <c r="Z27">
        <f>B27*K27</f>
        <v>0</v>
      </c>
      <c r="AA27">
        <f>B27*M27</f>
        <v>0</v>
      </c>
    </row>
    <row r="28" spans="1:27" x14ac:dyDescent="0.35">
      <c r="A28" s="9">
        <v>25</v>
      </c>
      <c r="B28" s="14">
        <v>1</v>
      </c>
      <c r="C28" s="9">
        <v>35.4</v>
      </c>
      <c r="D28" s="14">
        <v>1.4850000000000001</v>
      </c>
      <c r="E28" s="9" t="s">
        <v>31</v>
      </c>
      <c r="F28" s="10">
        <v>8</v>
      </c>
      <c r="G28" s="10">
        <v>11.7</v>
      </c>
      <c r="H28" s="11">
        <v>8</v>
      </c>
      <c r="I28" s="11">
        <v>11.7</v>
      </c>
      <c r="J28" s="12">
        <v>4</v>
      </c>
      <c r="K28" s="12">
        <v>5.8</v>
      </c>
      <c r="L28" s="13">
        <v>4</v>
      </c>
      <c r="M28" s="13">
        <v>5.8</v>
      </c>
      <c r="X28">
        <f>B28*G28</f>
        <v>11.7</v>
      </c>
      <c r="Y28">
        <f>B28*I28</f>
        <v>11.7</v>
      </c>
      <c r="Z28">
        <f>B28*K28</f>
        <v>5.8</v>
      </c>
      <c r="AA28">
        <f>B28*M28</f>
        <v>5.8</v>
      </c>
    </row>
    <row r="29" spans="1:27" x14ac:dyDescent="0.35">
      <c r="A29" s="9">
        <v>26</v>
      </c>
      <c r="B29" s="14">
        <v>1</v>
      </c>
      <c r="C29" s="9">
        <v>35.700000000000003</v>
      </c>
      <c r="D29" s="14">
        <v>1.496</v>
      </c>
      <c r="E29" s="9" t="s">
        <v>33</v>
      </c>
      <c r="F29" s="15"/>
      <c r="G29" s="15"/>
      <c r="H29" s="11">
        <v>8</v>
      </c>
      <c r="I29" s="11">
        <v>11.8</v>
      </c>
      <c r="J29" s="12">
        <v>8</v>
      </c>
      <c r="K29" s="12">
        <v>11.8</v>
      </c>
      <c r="L29" s="13">
        <v>8</v>
      </c>
      <c r="M29" s="13">
        <v>11.8</v>
      </c>
      <c r="X29">
        <f>B29*G29</f>
        <v>0</v>
      </c>
      <c r="Y29">
        <f>B29*I29</f>
        <v>11.8</v>
      </c>
      <c r="Z29">
        <f>B29*K29</f>
        <v>11.8</v>
      </c>
      <c r="AA29">
        <f>B29*M29</f>
        <v>11.8</v>
      </c>
    </row>
    <row r="30" spans="1:27" x14ac:dyDescent="0.35">
      <c r="A30" s="9">
        <v>27</v>
      </c>
      <c r="B30" s="14">
        <v>1</v>
      </c>
      <c r="C30" s="9">
        <v>36</v>
      </c>
      <c r="D30" s="14">
        <v>1.5089999999999999</v>
      </c>
      <c r="E30" s="9" t="s">
        <v>34</v>
      </c>
      <c r="F30" s="10">
        <v>8</v>
      </c>
      <c r="G30" s="10">
        <v>11.9</v>
      </c>
      <c r="H30" s="11">
        <v>8</v>
      </c>
      <c r="I30" s="11">
        <v>11.9</v>
      </c>
      <c r="J30" s="12">
        <v>4</v>
      </c>
      <c r="K30" s="12">
        <v>5.9</v>
      </c>
      <c r="L30" s="13">
        <v>4</v>
      </c>
      <c r="M30" s="13">
        <v>5.9</v>
      </c>
      <c r="X30">
        <f>B30*G30</f>
        <v>11.9</v>
      </c>
      <c r="Y30">
        <f>B30*I30</f>
        <v>11.9</v>
      </c>
      <c r="Z30">
        <f>B30*K30</f>
        <v>5.9</v>
      </c>
      <c r="AA30">
        <f>B30*M30</f>
        <v>5.9</v>
      </c>
    </row>
    <row r="31" spans="1:27" x14ac:dyDescent="0.35">
      <c r="A31" s="9">
        <v>28</v>
      </c>
      <c r="B31" s="14">
        <v>1</v>
      </c>
      <c r="C31" s="9">
        <v>36.299999999999997</v>
      </c>
      <c r="D31" s="14">
        <v>1.5189999999999999</v>
      </c>
      <c r="E31" s="9" t="s">
        <v>34</v>
      </c>
      <c r="F31" s="10">
        <v>16</v>
      </c>
      <c r="G31" s="10">
        <v>24.1</v>
      </c>
      <c r="H31" s="11">
        <v>8</v>
      </c>
      <c r="I31" s="11">
        <v>12</v>
      </c>
      <c r="J31" s="15"/>
      <c r="K31" s="15"/>
      <c r="L31" s="15"/>
      <c r="M31" s="15"/>
      <c r="X31">
        <f>B31*G31</f>
        <v>24.1</v>
      </c>
      <c r="Y31">
        <f>B31*I31</f>
        <v>12</v>
      </c>
      <c r="Z31">
        <f>B31*K31</f>
        <v>0</v>
      </c>
      <c r="AA31">
        <f>B31*M31</f>
        <v>0</v>
      </c>
    </row>
    <row r="32" spans="1:27" x14ac:dyDescent="0.35">
      <c r="A32" s="9">
        <v>29</v>
      </c>
      <c r="B32" s="14">
        <v>1</v>
      </c>
      <c r="C32" s="9">
        <v>36.5</v>
      </c>
      <c r="D32" s="14">
        <v>1.53</v>
      </c>
      <c r="E32" s="9" t="s">
        <v>35</v>
      </c>
      <c r="F32" s="10">
        <v>8</v>
      </c>
      <c r="G32" s="10">
        <v>12.1</v>
      </c>
      <c r="H32" s="11">
        <v>8</v>
      </c>
      <c r="I32" s="11">
        <v>12.1</v>
      </c>
      <c r="J32" s="12">
        <v>4</v>
      </c>
      <c r="K32" s="12">
        <v>6</v>
      </c>
      <c r="L32" s="13">
        <v>4</v>
      </c>
      <c r="M32" s="13">
        <v>6</v>
      </c>
      <c r="X32">
        <f>B32*G32</f>
        <v>12.1</v>
      </c>
      <c r="Y32">
        <f>B32*I32</f>
        <v>12.1</v>
      </c>
      <c r="Z32">
        <f>B32*K32</f>
        <v>6</v>
      </c>
      <c r="AA32">
        <f>B32*M32</f>
        <v>6</v>
      </c>
    </row>
    <row r="33" spans="1:28" x14ac:dyDescent="0.35">
      <c r="A33" s="9">
        <v>30</v>
      </c>
      <c r="B33" s="14">
        <v>1</v>
      </c>
      <c r="C33" s="9">
        <v>36.700000000000003</v>
      </c>
      <c r="D33" s="14">
        <v>1.5349999999999999</v>
      </c>
      <c r="E33" s="9" t="s">
        <v>36</v>
      </c>
      <c r="F33" s="15"/>
      <c r="G33" s="15"/>
      <c r="H33" s="11">
        <v>8</v>
      </c>
      <c r="I33" s="11">
        <v>12.2</v>
      </c>
      <c r="J33" s="12">
        <v>8</v>
      </c>
      <c r="K33" s="12">
        <v>12.2</v>
      </c>
      <c r="L33" s="13">
        <v>8</v>
      </c>
      <c r="M33" s="13">
        <v>12.2</v>
      </c>
      <c r="X33">
        <f>B33*G33</f>
        <v>0</v>
      </c>
      <c r="Y33">
        <f>B33*I33</f>
        <v>12.2</v>
      </c>
      <c r="Z33">
        <f>B33*K33</f>
        <v>12.2</v>
      </c>
      <c r="AA33">
        <f>B33*M33</f>
        <v>12.2</v>
      </c>
    </row>
    <row r="34" spans="1:28" x14ac:dyDescent="0.35">
      <c r="A34" s="9">
        <v>31</v>
      </c>
      <c r="B34" s="14">
        <v>1</v>
      </c>
      <c r="C34" s="9">
        <v>36.9</v>
      </c>
      <c r="D34" s="14">
        <v>1.5429999999999999</v>
      </c>
      <c r="E34" s="9" t="s">
        <v>36</v>
      </c>
      <c r="F34" s="10">
        <v>8</v>
      </c>
      <c r="G34" s="10">
        <v>12.2</v>
      </c>
      <c r="H34" s="11">
        <v>8</v>
      </c>
      <c r="I34" s="11">
        <v>12.2</v>
      </c>
      <c r="J34" s="12">
        <v>4</v>
      </c>
      <c r="K34" s="12">
        <v>6</v>
      </c>
      <c r="L34" s="13">
        <v>4</v>
      </c>
      <c r="M34" s="13">
        <v>6</v>
      </c>
      <c r="X34">
        <f>B34*G34</f>
        <v>12.2</v>
      </c>
      <c r="Y34">
        <f>B34*I34</f>
        <v>12.2</v>
      </c>
      <c r="Z34">
        <f>B34*K34</f>
        <v>6</v>
      </c>
      <c r="AA34">
        <f>B34*M34</f>
        <v>6</v>
      </c>
    </row>
    <row r="35" spans="1:28" x14ac:dyDescent="0.35">
      <c r="A35" s="9">
        <v>32</v>
      </c>
      <c r="B35" s="14">
        <v>1</v>
      </c>
      <c r="C35" s="9">
        <v>37</v>
      </c>
      <c r="D35" s="14">
        <v>1.548</v>
      </c>
      <c r="E35" s="9" t="s">
        <v>37</v>
      </c>
      <c r="F35" s="10">
        <v>16</v>
      </c>
      <c r="G35" s="10">
        <v>24.7</v>
      </c>
      <c r="H35" s="11">
        <v>8</v>
      </c>
      <c r="I35" s="11">
        <v>12.3</v>
      </c>
      <c r="J35" s="15"/>
      <c r="K35" s="15"/>
      <c r="L35" s="15"/>
      <c r="M35" s="15"/>
      <c r="X35">
        <f>B35*G35</f>
        <v>24.7</v>
      </c>
      <c r="Y35">
        <f>B35*I35</f>
        <v>12.3</v>
      </c>
      <c r="Z35">
        <f>B35*K35</f>
        <v>0</v>
      </c>
      <c r="AA35">
        <f>B35*M35</f>
        <v>0</v>
      </c>
    </row>
    <row r="36" spans="1:28" x14ac:dyDescent="0.35">
      <c r="A36" s="9">
        <v>33</v>
      </c>
      <c r="B36" s="14">
        <v>1</v>
      </c>
      <c r="C36" s="9">
        <v>36.5</v>
      </c>
      <c r="D36" s="14">
        <v>1.548</v>
      </c>
      <c r="E36" s="9" t="s">
        <v>37</v>
      </c>
      <c r="F36" s="10">
        <v>8</v>
      </c>
      <c r="G36" s="10">
        <v>12.1</v>
      </c>
      <c r="H36" s="11">
        <v>8</v>
      </c>
      <c r="I36" s="11">
        <v>12.1</v>
      </c>
      <c r="J36" s="12">
        <v>4</v>
      </c>
      <c r="K36" s="12">
        <v>6</v>
      </c>
      <c r="L36" s="13">
        <v>4</v>
      </c>
      <c r="M36" s="13">
        <v>6</v>
      </c>
      <c r="X36">
        <f>B36*G36</f>
        <v>12.1</v>
      </c>
      <c r="Y36">
        <f>B36*I36</f>
        <v>12.1</v>
      </c>
      <c r="Z36">
        <f>B36*K36</f>
        <v>6</v>
      </c>
      <c r="AA36">
        <f>B36*M36</f>
        <v>6</v>
      </c>
    </row>
    <row r="37" spans="1:28" x14ac:dyDescent="0.35">
      <c r="A37" s="9">
        <v>34</v>
      </c>
      <c r="B37" s="14">
        <v>1</v>
      </c>
      <c r="C37" s="9">
        <v>35.9</v>
      </c>
      <c r="D37" s="14">
        <v>1.548</v>
      </c>
      <c r="E37" s="9" t="s">
        <v>37</v>
      </c>
      <c r="F37" s="15"/>
      <c r="G37" s="15"/>
      <c r="H37" s="11">
        <v>8</v>
      </c>
      <c r="I37" s="11">
        <v>11.9</v>
      </c>
      <c r="J37" s="12">
        <v>8</v>
      </c>
      <c r="K37" s="12">
        <v>11.9</v>
      </c>
      <c r="L37" s="13">
        <v>8</v>
      </c>
      <c r="M37" s="13">
        <v>11.9</v>
      </c>
      <c r="X37">
        <f>B37*G37</f>
        <v>0</v>
      </c>
      <c r="Y37">
        <f>B37*I37</f>
        <v>11.9</v>
      </c>
      <c r="Z37">
        <f>B37*K37</f>
        <v>11.9</v>
      </c>
      <c r="AA37">
        <f>B37*M37</f>
        <v>11.9</v>
      </c>
    </row>
    <row r="38" spans="1:28" ht="14" customHeight="1" x14ac:dyDescent="0.35">
      <c r="C38" s="19" t="s">
        <v>39</v>
      </c>
      <c r="D38" s="19"/>
      <c r="E38" s="19"/>
      <c r="F38" s="5">
        <f>SUM(F4:F37)</f>
        <v>264</v>
      </c>
      <c r="I38" s="3"/>
      <c r="J38" s="3"/>
      <c r="M38" s="3" t="s">
        <v>51</v>
      </c>
      <c r="N38" s="7">
        <f>($Y$38*$K$1)/144</f>
        <v>1.7974739583333337</v>
      </c>
      <c r="Y38">
        <f>SUM(X4:X37)</f>
        <v>345.11500000000007</v>
      </c>
      <c r="Z38">
        <f t="shared" ref="Z38:AB38" si="0">SUM(Y4:Y37)</f>
        <v>350.26500000000004</v>
      </c>
      <c r="AA38">
        <f t="shared" si="0"/>
        <v>178.95</v>
      </c>
      <c r="AB38">
        <f t="shared" si="0"/>
        <v>178.45</v>
      </c>
    </row>
    <row r="39" spans="1:28" ht="14" customHeight="1" x14ac:dyDescent="0.35">
      <c r="C39" s="1" t="s">
        <v>40</v>
      </c>
      <c r="D39" s="1"/>
      <c r="E39" s="1"/>
      <c r="F39" s="5">
        <f>SUM(H4:H37)</f>
        <v>272</v>
      </c>
      <c r="I39" s="3"/>
      <c r="J39" s="3"/>
      <c r="M39" s="3" t="s">
        <v>52</v>
      </c>
      <c r="N39" s="7">
        <f>($Z$38*$K$1)/144</f>
        <v>1.8242968750000002</v>
      </c>
    </row>
    <row r="40" spans="1:28" ht="14" customHeight="1" x14ac:dyDescent="0.35">
      <c r="C40" s="1" t="s">
        <v>44</v>
      </c>
      <c r="D40" s="1"/>
      <c r="E40" s="1"/>
      <c r="F40" s="5">
        <f>SUM(J4:J37)</f>
        <v>140</v>
      </c>
      <c r="I40" s="3"/>
      <c r="J40" s="3"/>
      <c r="M40" s="3" t="s">
        <v>53</v>
      </c>
      <c r="N40" s="7">
        <f>($AA$38*$K$1)/144</f>
        <v>0.93203124999999987</v>
      </c>
    </row>
    <row r="41" spans="1:28" ht="14" customHeight="1" x14ac:dyDescent="0.35">
      <c r="C41" s="1" t="s">
        <v>45</v>
      </c>
      <c r="D41" s="1"/>
      <c r="E41" s="1"/>
      <c r="F41" s="5">
        <f>SUM(L4:L37)</f>
        <v>140</v>
      </c>
      <c r="I41" s="3"/>
      <c r="J41" s="3"/>
      <c r="M41" s="3" t="s">
        <v>54</v>
      </c>
      <c r="N41" s="7">
        <f>($AB$38*K1)/144</f>
        <v>0.92942708333333313</v>
      </c>
    </row>
    <row r="42" spans="1:28" x14ac:dyDescent="0.35">
      <c r="D42" s="1" t="s">
        <v>41</v>
      </c>
      <c r="E42" s="1"/>
      <c r="F42" s="8" t="s">
        <v>56</v>
      </c>
      <c r="G42" s="5">
        <f>SUM(F38:F41)</f>
        <v>816</v>
      </c>
      <c r="M42" s="6" t="s">
        <v>55</v>
      </c>
      <c r="N42" s="4">
        <f>SUM(N38:N41)</f>
        <v>5.4832291666666659</v>
      </c>
    </row>
  </sheetData>
  <mergeCells count="5">
    <mergeCell ref="C40:E40"/>
    <mergeCell ref="C41:E41"/>
    <mergeCell ref="D42:E42"/>
    <mergeCell ref="C39:E39"/>
    <mergeCell ref="C38:E38"/>
  </mergeCells>
  <conditionalFormatting sqref="B4:B3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scale="7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Tony Koop</cp:lastModifiedBy>
  <cp:lastPrinted>2021-09-23T02:56:06Z</cp:lastPrinted>
  <dcterms:modified xsi:type="dcterms:W3CDTF">2021-09-23T02:57:20Z</dcterms:modified>
</cp:coreProperties>
</file>