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E09008AC-4941-410A-9B6D-610B9E72E07D}" xr6:coauthVersionLast="47" xr6:coauthVersionMax="47" xr10:uidLastSave="{00000000-0000-0000-0000-000000000000}"/>
  <bookViews>
    <workbookView xWindow="80" yWindow="30" windowWidth="23730" windowHeight="20280" xr2:uid="{00000000-000D-0000-FFFF-FFFF00000000}"/>
  </bookViews>
  <sheets>
    <sheet name="Sheet1" sheetId="1" r:id="rId1"/>
  </sheets>
  <definedNames>
    <definedName name="_xlnm.Print_Area" localSheetId="0">Sheet1!$A$1:$R$37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" i="1" l="1"/>
  <c r="L35" i="1"/>
  <c r="L34" i="1"/>
  <c r="L33" i="1"/>
  <c r="U5" i="1"/>
  <c r="V5" i="1"/>
  <c r="W5" i="1"/>
  <c r="X5" i="1"/>
  <c r="U6" i="1"/>
  <c r="V6" i="1"/>
  <c r="W6" i="1"/>
  <c r="X6" i="1"/>
  <c r="U7" i="1"/>
  <c r="V7" i="1"/>
  <c r="W7" i="1"/>
  <c r="X7" i="1"/>
  <c r="U8" i="1"/>
  <c r="V8" i="1"/>
  <c r="W8" i="1"/>
  <c r="X8" i="1"/>
  <c r="U9" i="1"/>
  <c r="V9" i="1"/>
  <c r="W9" i="1"/>
  <c r="X9" i="1"/>
  <c r="U10" i="1"/>
  <c r="V10" i="1"/>
  <c r="W10" i="1"/>
  <c r="X10" i="1"/>
  <c r="U11" i="1"/>
  <c r="V11" i="1"/>
  <c r="W11" i="1"/>
  <c r="X11" i="1"/>
  <c r="U12" i="1"/>
  <c r="V12" i="1"/>
  <c r="W12" i="1"/>
  <c r="X12" i="1"/>
  <c r="U13" i="1"/>
  <c r="V13" i="1"/>
  <c r="W13" i="1"/>
  <c r="X13" i="1"/>
  <c r="U14" i="1"/>
  <c r="V14" i="1"/>
  <c r="W14" i="1"/>
  <c r="X14" i="1"/>
  <c r="U15" i="1"/>
  <c r="V15" i="1"/>
  <c r="W15" i="1"/>
  <c r="X15" i="1"/>
  <c r="U16" i="1"/>
  <c r="V16" i="1"/>
  <c r="W16" i="1"/>
  <c r="X16" i="1"/>
  <c r="U17" i="1"/>
  <c r="V17" i="1"/>
  <c r="W17" i="1"/>
  <c r="X17" i="1"/>
  <c r="U18" i="1"/>
  <c r="V18" i="1"/>
  <c r="W18" i="1"/>
  <c r="X18" i="1"/>
  <c r="U19" i="1"/>
  <c r="V19" i="1"/>
  <c r="W19" i="1"/>
  <c r="X19" i="1"/>
  <c r="U20" i="1"/>
  <c r="V20" i="1"/>
  <c r="W20" i="1"/>
  <c r="X20" i="1"/>
  <c r="U21" i="1"/>
  <c r="V21" i="1"/>
  <c r="W21" i="1"/>
  <c r="X21" i="1"/>
  <c r="U22" i="1"/>
  <c r="V22" i="1"/>
  <c r="W22" i="1"/>
  <c r="X22" i="1"/>
  <c r="U23" i="1"/>
  <c r="V23" i="1"/>
  <c r="W23" i="1"/>
  <c r="X23" i="1"/>
  <c r="U24" i="1"/>
  <c r="V24" i="1"/>
  <c r="W24" i="1"/>
  <c r="X24" i="1"/>
  <c r="U25" i="1"/>
  <c r="V25" i="1"/>
  <c r="W25" i="1"/>
  <c r="X25" i="1"/>
  <c r="U26" i="1"/>
  <c r="V26" i="1"/>
  <c r="W26" i="1"/>
  <c r="X26" i="1"/>
  <c r="U27" i="1"/>
  <c r="V27" i="1"/>
  <c r="W27" i="1"/>
  <c r="X27" i="1"/>
  <c r="U28" i="1"/>
  <c r="V28" i="1"/>
  <c r="W28" i="1"/>
  <c r="X28" i="1"/>
  <c r="U29" i="1"/>
  <c r="V29" i="1"/>
  <c r="W29" i="1"/>
  <c r="X29" i="1"/>
  <c r="U30" i="1"/>
  <c r="V30" i="1"/>
  <c r="W30" i="1"/>
  <c r="X30" i="1"/>
  <c r="U31" i="1"/>
  <c r="V31" i="1"/>
  <c r="W31" i="1"/>
  <c r="X31" i="1"/>
  <c r="U32" i="1"/>
  <c r="V32" i="1"/>
  <c r="W32" i="1"/>
  <c r="X32" i="1"/>
  <c r="W4" i="1"/>
  <c r="V4" i="1"/>
  <c r="X4" i="1"/>
  <c r="U4" i="1"/>
  <c r="F37" i="1"/>
  <c r="Y33" i="1" l="1"/>
  <c r="X33" i="1"/>
  <c r="V33" i="1"/>
  <c r="W33" i="1"/>
  <c r="L37" i="1" l="1"/>
</calcChain>
</file>

<file path=xl/sharedStrings.xml><?xml version="1.0" encoding="utf-8"?>
<sst xmlns="http://schemas.openxmlformats.org/spreadsheetml/2006/main" count="71" uniqueCount="55">
  <si>
    <t>Row</t>
  </si>
  <si>
    <t>Board</t>
  </si>
  <si>
    <t>Width</t>
  </si>
  <si>
    <t>Length</t>
  </si>
  <si>
    <t>Segment</t>
  </si>
  <si>
    <t>S.E.L.</t>
  </si>
  <si>
    <t>Species</t>
  </si>
  <si>
    <t>Diameter</t>
  </si>
  <si>
    <t>Outer</t>
  </si>
  <si>
    <t>7.8"</t>
  </si>
  <si>
    <t>7.6"</t>
  </si>
  <si>
    <t>7.4"</t>
  </si>
  <si>
    <t>7.2"</t>
  </si>
  <si>
    <t>7"</t>
  </si>
  <si>
    <t>6.8"</t>
  </si>
  <si>
    <t>6.6"</t>
  </si>
  <si>
    <t>6.4"</t>
  </si>
  <si>
    <t>6.2"</t>
  </si>
  <si>
    <t>6"</t>
  </si>
  <si>
    <t>5.7"</t>
  </si>
  <si>
    <t>5.6"</t>
  </si>
  <si>
    <t>9.1"</t>
  </si>
  <si>
    <t>10.2"</t>
  </si>
  <si>
    <t>11"</t>
  </si>
  <si>
    <t>11.3"</t>
  </si>
  <si>
    <t>11.4"</t>
  </si>
  <si>
    <t>11.5"</t>
  </si>
  <si>
    <t>11.6"</t>
  </si>
  <si>
    <t>11.7"</t>
  </si>
  <si>
    <t>11.8"</t>
  </si>
  <si>
    <t>Maple</t>
  </si>
  <si>
    <t>Segments of Maple</t>
  </si>
  <si>
    <t>Bd Ft of Maple</t>
  </si>
  <si>
    <t>Bd Ft of Wenge</t>
  </si>
  <si>
    <t>Bd Ft of Purpleheart</t>
  </si>
  <si>
    <t>Segments of Yellowheart</t>
  </si>
  <si>
    <t>Bd Ft of Yellowheart</t>
  </si>
  <si>
    <t>Total # of Pieces</t>
  </si>
  <si>
    <t>Total Board Feet</t>
  </si>
  <si>
    <t>Strip</t>
  </si>
  <si>
    <t>Walnut</t>
  </si>
  <si>
    <t>Cherry</t>
  </si>
  <si>
    <t>Yellow</t>
  </si>
  <si>
    <t>Segments of Walnut</t>
  </si>
  <si>
    <t>Segments of Cherry</t>
  </si>
  <si>
    <t>Maple Area</t>
  </si>
  <si>
    <t>Walnut Area</t>
  </si>
  <si>
    <t>Cherry Area</t>
  </si>
  <si>
    <t>Yellow Area</t>
  </si>
  <si>
    <t>16*29 =</t>
  </si>
  <si>
    <t>Large Segmented Ashiko: 464 Pieces</t>
  </si>
  <si>
    <t>Segments per Ring:</t>
  </si>
  <si>
    <t>Ring Thickness:</t>
  </si>
  <si>
    <t>Angle:</t>
  </si>
  <si>
    <t>Dimensions: 25.375" x 11.8" Diameter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</si>
</sst>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NumberFormat="1" applyFont="1" applyFill="1" applyBorder="1" applyAlignment="1" applyProtection="1"/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1" xfId="0" applyNumberFormat="1" applyFont="1" applyFill="1" applyBorder="1" applyAlignment="1" applyProtection="1"/>
    <xf numFmtId="0" fontId="0" fillId="2" borderId="1" xfId="0" applyNumberFormat="1" applyFont="1" applyFill="1" applyBorder="1" applyAlignment="1" applyProtection="1"/>
    <xf numFmtId="0" fontId="1" fillId="0" borderId="0" xfId="0" applyFont="1"/>
    <xf numFmtId="0" fontId="1" fillId="0" borderId="0" xfId="0" quotePrefix="1" applyFont="1" applyAlignment="1">
      <alignment horizontal="right"/>
    </xf>
    <xf numFmtId="0" fontId="2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right"/>
    </xf>
    <xf numFmtId="0" fontId="0" fillId="0" borderId="0" xfId="0" applyNumberFormat="1" applyFont="1" applyFill="1" applyBorder="1" applyAlignment="1" applyProtection="1">
      <alignment horizontal="left"/>
    </xf>
    <xf numFmtId="0" fontId="0" fillId="3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38100</xdr:colOff>
      <xdr:row>1</xdr:row>
      <xdr:rowOff>113983</xdr:rowOff>
    </xdr:from>
    <xdr:to>
      <xdr:col>17</xdr:col>
      <xdr:colOff>433742</xdr:colOff>
      <xdr:row>31</xdr:row>
      <xdr:rowOff>171134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9D3267-CED9-4379-A8F2-7DAF802E0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9250" y="113983"/>
          <a:ext cx="2783242" cy="5581651"/>
        </a:xfrm>
        <a:prstGeom prst="rect">
          <a:avLst/>
        </a:prstGeom>
      </xdr:spPr>
    </xdr:pic>
    <xdr:clientData/>
  </xdr:twoCellAnchor>
  <xdr:twoCellAnchor editAs="oneCell">
    <xdr:from>
      <xdr:col>13</xdr:col>
      <xdr:colOff>243039</xdr:colOff>
      <xdr:row>31</xdr:row>
      <xdr:rowOff>107110</xdr:rowOff>
    </xdr:from>
    <xdr:to>
      <xdr:col>16</xdr:col>
      <xdr:colOff>520701</xdr:colOff>
      <xdr:row>37</xdr:row>
      <xdr:rowOff>161057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BBB89E57-379A-45C7-B272-D485B9D47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6459689" y="5815760"/>
          <a:ext cx="2017562" cy="1158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7"/>
  <sheetViews>
    <sheetView tabSelected="1" zoomScaleNormal="100" workbookViewId="0">
      <selection activeCell="D39" sqref="D39"/>
    </sheetView>
  </sheetViews>
  <sheetFormatPr defaultColWidth="9.26953125" defaultRowHeight="14.5" x14ac:dyDescent="0.35"/>
  <cols>
    <col min="1" max="1" width="4.453125" bestFit="1" customWidth="1"/>
    <col min="2" max="2" width="5.90625" bestFit="1" customWidth="1"/>
    <col min="6" max="6" width="5.6328125" customWidth="1"/>
    <col min="7" max="7" width="6.90625" bestFit="1" customWidth="1"/>
    <col min="8" max="8" width="6.36328125" bestFit="1" customWidth="1"/>
    <col min="9" max="9" width="6.90625" bestFit="1" customWidth="1"/>
    <col min="10" max="10" width="6.36328125" bestFit="1" customWidth="1"/>
    <col min="11" max="11" width="6" customWidth="1"/>
    <col min="12" max="12" width="6.36328125" bestFit="1" customWidth="1"/>
    <col min="13" max="13" width="6.26953125" bestFit="1" customWidth="1"/>
    <col min="14" max="14" width="6.36328125" customWidth="1"/>
  </cols>
  <sheetData>
    <row r="1" spans="1:26" x14ac:dyDescent="0.35">
      <c r="A1" s="10" t="s">
        <v>50</v>
      </c>
      <c r="G1" s="11" t="s">
        <v>51</v>
      </c>
      <c r="H1" s="12">
        <v>16</v>
      </c>
      <c r="J1" s="11" t="s">
        <v>52</v>
      </c>
      <c r="K1" s="12">
        <v>0.875</v>
      </c>
      <c r="L1" s="11" t="s">
        <v>53</v>
      </c>
      <c r="M1" s="12">
        <v>11.25</v>
      </c>
      <c r="O1" t="s">
        <v>54</v>
      </c>
    </row>
    <row r="2" spans="1:26" x14ac:dyDescent="0.35">
      <c r="A2" s="6"/>
      <c r="B2" s="6" t="s">
        <v>1</v>
      </c>
      <c r="C2" s="6" t="s">
        <v>1</v>
      </c>
      <c r="D2" s="6" t="s">
        <v>4</v>
      </c>
      <c r="E2" s="6" t="s">
        <v>7</v>
      </c>
      <c r="F2" s="6" t="s">
        <v>6</v>
      </c>
      <c r="G2" s="6" t="s">
        <v>39</v>
      </c>
      <c r="H2" s="6"/>
      <c r="I2" s="6" t="s">
        <v>39</v>
      </c>
      <c r="J2" s="6"/>
      <c r="K2" s="6" t="s">
        <v>39</v>
      </c>
      <c r="L2" s="6"/>
      <c r="M2" s="6" t="s">
        <v>39</v>
      </c>
      <c r="U2" s="1" t="s">
        <v>45</v>
      </c>
      <c r="V2" s="8" t="s">
        <v>46</v>
      </c>
      <c r="W2" s="8" t="s">
        <v>47</v>
      </c>
      <c r="X2" s="1" t="s">
        <v>48</v>
      </c>
    </row>
    <row r="3" spans="1:26" x14ac:dyDescent="0.35">
      <c r="A3" s="6" t="s">
        <v>0</v>
      </c>
      <c r="B3" s="6" t="s">
        <v>2</v>
      </c>
      <c r="C3" s="6" t="s">
        <v>3</v>
      </c>
      <c r="D3" s="6" t="s">
        <v>5</v>
      </c>
      <c r="E3" s="6" t="s">
        <v>8</v>
      </c>
      <c r="F3" s="6" t="s">
        <v>30</v>
      </c>
      <c r="G3" s="6" t="s">
        <v>3</v>
      </c>
      <c r="H3" s="6" t="s">
        <v>40</v>
      </c>
      <c r="I3" s="6" t="s">
        <v>3</v>
      </c>
      <c r="J3" s="6" t="s">
        <v>41</v>
      </c>
      <c r="K3" s="6" t="s">
        <v>3</v>
      </c>
      <c r="L3" s="6" t="s">
        <v>42</v>
      </c>
      <c r="M3" s="6" t="s">
        <v>3</v>
      </c>
      <c r="U3" s="1"/>
      <c r="V3" s="1"/>
      <c r="W3" s="1"/>
      <c r="X3" s="1"/>
    </row>
    <row r="4" spans="1:26" x14ac:dyDescent="0.35">
      <c r="A4" s="6">
        <v>1</v>
      </c>
      <c r="B4" s="6">
        <v>1</v>
      </c>
      <c r="C4" s="6">
        <v>16.100000000000001</v>
      </c>
      <c r="D4" s="6">
        <v>1.5589999999999999</v>
      </c>
      <c r="E4" s="6" t="s">
        <v>9</v>
      </c>
      <c r="F4" s="6">
        <v>8</v>
      </c>
      <c r="G4" s="6">
        <v>8</v>
      </c>
      <c r="H4" s="6">
        <v>8</v>
      </c>
      <c r="I4" s="6">
        <v>8</v>
      </c>
      <c r="J4" s="7"/>
      <c r="K4" s="7"/>
      <c r="L4" s="7"/>
      <c r="M4" s="7"/>
      <c r="U4" s="1">
        <f>$B4*G4</f>
        <v>8</v>
      </c>
      <c r="V4" s="1">
        <f>$B4*I4</f>
        <v>8</v>
      </c>
      <c r="W4" s="1">
        <f>$B4*K4</f>
        <v>0</v>
      </c>
      <c r="X4" s="1">
        <f>$B4*J4</f>
        <v>0</v>
      </c>
      <c r="Y4" s="1"/>
      <c r="Z4" s="1"/>
    </row>
    <row r="5" spans="1:26" x14ac:dyDescent="0.35">
      <c r="A5" s="6">
        <v>2</v>
      </c>
      <c r="B5" s="6">
        <v>1</v>
      </c>
      <c r="C5" s="6">
        <v>16.7</v>
      </c>
      <c r="D5" s="6">
        <v>1.52</v>
      </c>
      <c r="E5" s="6" t="s">
        <v>10</v>
      </c>
      <c r="F5" s="7"/>
      <c r="G5" s="7"/>
      <c r="H5" s="6">
        <v>8</v>
      </c>
      <c r="I5" s="6">
        <v>8.3000000000000007</v>
      </c>
      <c r="J5" s="7"/>
      <c r="K5" s="7"/>
      <c r="L5" s="6">
        <v>8</v>
      </c>
      <c r="M5" s="6">
        <v>8.3000000000000007</v>
      </c>
      <c r="U5" s="1">
        <f t="shared" ref="U5:U32" si="0">$B5*G5</f>
        <v>0</v>
      </c>
      <c r="V5" s="1">
        <f t="shared" ref="V5:V32" si="1">$B5*I5</f>
        <v>8.3000000000000007</v>
      </c>
      <c r="W5" s="1">
        <f t="shared" ref="W5:W32" si="2">$B5*K5</f>
        <v>0</v>
      </c>
      <c r="X5" s="1">
        <f t="shared" ref="X5:X32" si="3">$B5*J5</f>
        <v>0</v>
      </c>
    </row>
    <row r="6" spans="1:26" x14ac:dyDescent="0.35">
      <c r="A6" s="6">
        <v>3</v>
      </c>
      <c r="B6" s="6">
        <v>1</v>
      </c>
      <c r="C6" s="6">
        <v>17.2</v>
      </c>
      <c r="D6" s="6">
        <v>1.476</v>
      </c>
      <c r="E6" s="6" t="s">
        <v>11</v>
      </c>
      <c r="F6" s="6">
        <v>8</v>
      </c>
      <c r="G6" s="6">
        <v>8.6</v>
      </c>
      <c r="H6" s="6">
        <v>8</v>
      </c>
      <c r="I6" s="6">
        <v>8.6</v>
      </c>
      <c r="J6" s="7"/>
      <c r="K6" s="7"/>
      <c r="L6" s="7"/>
      <c r="M6" s="7"/>
      <c r="U6" s="1">
        <f t="shared" si="0"/>
        <v>8.6</v>
      </c>
      <c r="V6" s="1">
        <f t="shared" si="1"/>
        <v>8.6</v>
      </c>
      <c r="W6" s="1">
        <f t="shared" si="2"/>
        <v>0</v>
      </c>
      <c r="X6" s="1">
        <f t="shared" si="3"/>
        <v>0</v>
      </c>
    </row>
    <row r="7" spans="1:26" x14ac:dyDescent="0.35">
      <c r="A7" s="6">
        <v>4</v>
      </c>
      <c r="B7" s="6">
        <v>1</v>
      </c>
      <c r="C7" s="6">
        <v>17.8</v>
      </c>
      <c r="D7" s="6">
        <v>1.4359999999999999</v>
      </c>
      <c r="E7" s="6" t="s">
        <v>12</v>
      </c>
      <c r="F7" s="7"/>
      <c r="G7" s="7"/>
      <c r="H7" s="6">
        <v>4</v>
      </c>
      <c r="I7" s="6">
        <v>4.4000000000000004</v>
      </c>
      <c r="J7" s="6">
        <v>4</v>
      </c>
      <c r="K7" s="6">
        <v>4.4000000000000004</v>
      </c>
      <c r="L7" s="6">
        <v>8</v>
      </c>
      <c r="M7" s="6">
        <v>8.9</v>
      </c>
      <c r="U7" s="1">
        <f t="shared" si="0"/>
        <v>0</v>
      </c>
      <c r="V7" s="1">
        <f t="shared" si="1"/>
        <v>4.4000000000000004</v>
      </c>
      <c r="W7" s="1">
        <f t="shared" si="2"/>
        <v>4.4000000000000004</v>
      </c>
      <c r="X7" s="1">
        <f t="shared" si="3"/>
        <v>4</v>
      </c>
    </row>
    <row r="8" spans="1:26" x14ac:dyDescent="0.35">
      <c r="A8" s="6">
        <v>5</v>
      </c>
      <c r="B8" s="6">
        <v>1</v>
      </c>
      <c r="C8" s="6">
        <v>18.399999999999999</v>
      </c>
      <c r="D8" s="6">
        <v>1.3959999999999999</v>
      </c>
      <c r="E8" s="6" t="s">
        <v>13</v>
      </c>
      <c r="F8" s="6">
        <v>8</v>
      </c>
      <c r="G8" s="6">
        <v>9.1</v>
      </c>
      <c r="H8" s="6">
        <v>8</v>
      </c>
      <c r="I8" s="6">
        <v>9.1</v>
      </c>
      <c r="J8" s="7"/>
      <c r="K8" s="7"/>
      <c r="L8" s="7"/>
      <c r="M8" s="7"/>
      <c r="U8" s="1">
        <f t="shared" si="0"/>
        <v>9.1</v>
      </c>
      <c r="V8" s="1">
        <f t="shared" si="1"/>
        <v>9.1</v>
      </c>
      <c r="W8" s="1">
        <f t="shared" si="2"/>
        <v>0</v>
      </c>
      <c r="X8" s="1">
        <f t="shared" si="3"/>
        <v>0</v>
      </c>
    </row>
    <row r="9" spans="1:26" x14ac:dyDescent="0.35">
      <c r="A9" s="6">
        <v>6</v>
      </c>
      <c r="B9" s="6">
        <v>1</v>
      </c>
      <c r="C9" s="6">
        <v>18.8</v>
      </c>
      <c r="D9" s="6">
        <v>1.353</v>
      </c>
      <c r="E9" s="6" t="s">
        <v>14</v>
      </c>
      <c r="F9" s="7"/>
      <c r="G9" s="7"/>
      <c r="H9" s="6">
        <v>8</v>
      </c>
      <c r="I9" s="6">
        <v>9.3000000000000007</v>
      </c>
      <c r="J9" s="7"/>
      <c r="K9" s="7"/>
      <c r="L9" s="6">
        <v>8</v>
      </c>
      <c r="M9" s="6">
        <v>9.3000000000000007</v>
      </c>
      <c r="U9" s="1">
        <f t="shared" si="0"/>
        <v>0</v>
      </c>
      <c r="V9" s="1">
        <f t="shared" si="1"/>
        <v>9.3000000000000007</v>
      </c>
      <c r="W9" s="1">
        <f t="shared" si="2"/>
        <v>0</v>
      </c>
      <c r="X9" s="1">
        <f t="shared" si="3"/>
        <v>0</v>
      </c>
    </row>
    <row r="10" spans="1:26" x14ac:dyDescent="0.35">
      <c r="A10" s="6">
        <v>7</v>
      </c>
      <c r="B10" s="6">
        <v>1</v>
      </c>
      <c r="C10" s="6">
        <v>19.100000000000001</v>
      </c>
      <c r="D10" s="6">
        <v>1.3129999999999999</v>
      </c>
      <c r="E10" s="6" t="s">
        <v>15</v>
      </c>
      <c r="F10" s="6">
        <v>8</v>
      </c>
      <c r="G10" s="6">
        <v>9.5</v>
      </c>
      <c r="H10" s="6">
        <v>8</v>
      </c>
      <c r="I10" s="6">
        <v>9.5</v>
      </c>
      <c r="J10" s="7"/>
      <c r="K10" s="7"/>
      <c r="L10" s="7"/>
      <c r="M10" s="7"/>
      <c r="U10" s="1">
        <f t="shared" si="0"/>
        <v>9.5</v>
      </c>
      <c r="V10" s="1">
        <f t="shared" si="1"/>
        <v>9.5</v>
      </c>
      <c r="W10" s="1">
        <f t="shared" si="2"/>
        <v>0</v>
      </c>
      <c r="X10" s="1">
        <f t="shared" si="3"/>
        <v>0</v>
      </c>
    </row>
    <row r="11" spans="1:26" x14ac:dyDescent="0.35">
      <c r="A11" s="6">
        <v>8</v>
      </c>
      <c r="B11" s="6">
        <v>1</v>
      </c>
      <c r="C11" s="6">
        <v>19</v>
      </c>
      <c r="D11" s="6">
        <v>1.2769999999999999</v>
      </c>
      <c r="E11" s="6" t="s">
        <v>16</v>
      </c>
      <c r="F11" s="7"/>
      <c r="G11" s="7"/>
      <c r="H11" s="6">
        <v>4</v>
      </c>
      <c r="I11" s="6">
        <v>4.7</v>
      </c>
      <c r="J11" s="6">
        <v>4</v>
      </c>
      <c r="K11" s="6">
        <v>4.7</v>
      </c>
      <c r="L11" s="6">
        <v>8</v>
      </c>
      <c r="M11" s="6">
        <v>9.4</v>
      </c>
      <c r="U11" s="1">
        <f t="shared" si="0"/>
        <v>0</v>
      </c>
      <c r="V11" s="1">
        <f t="shared" si="1"/>
        <v>4.7</v>
      </c>
      <c r="W11" s="1">
        <f t="shared" si="2"/>
        <v>4.7</v>
      </c>
      <c r="X11" s="1">
        <f t="shared" si="3"/>
        <v>4</v>
      </c>
    </row>
    <row r="12" spans="1:26" x14ac:dyDescent="0.35">
      <c r="A12" s="6">
        <v>9</v>
      </c>
      <c r="B12" s="6">
        <v>1.2</v>
      </c>
      <c r="C12" s="6">
        <v>17.899999999999999</v>
      </c>
      <c r="D12" s="6">
        <v>1.2370000000000001</v>
      </c>
      <c r="E12" s="6" t="s">
        <v>17</v>
      </c>
      <c r="F12" s="6">
        <v>8</v>
      </c>
      <c r="G12" s="6">
        <v>8.9</v>
      </c>
      <c r="H12" s="6">
        <v>8</v>
      </c>
      <c r="I12" s="6">
        <v>8.9</v>
      </c>
      <c r="J12" s="7"/>
      <c r="K12" s="7"/>
      <c r="L12" s="7"/>
      <c r="M12" s="7"/>
      <c r="U12" s="1">
        <f t="shared" si="0"/>
        <v>10.68</v>
      </c>
      <c r="V12" s="1">
        <f t="shared" si="1"/>
        <v>10.68</v>
      </c>
      <c r="W12" s="1">
        <f t="shared" si="2"/>
        <v>0</v>
      </c>
      <c r="X12" s="1">
        <f t="shared" si="3"/>
        <v>0</v>
      </c>
    </row>
    <row r="13" spans="1:26" x14ac:dyDescent="0.35">
      <c r="A13" s="6">
        <v>10</v>
      </c>
      <c r="B13" s="6">
        <v>1.37</v>
      </c>
      <c r="C13" s="6">
        <v>16.5</v>
      </c>
      <c r="D13" s="6">
        <v>1.1859999999999999</v>
      </c>
      <c r="E13" s="6" t="s">
        <v>18</v>
      </c>
      <c r="F13" s="7"/>
      <c r="G13" s="7"/>
      <c r="H13" s="6">
        <v>8</v>
      </c>
      <c r="I13" s="6">
        <v>8.1999999999999993</v>
      </c>
      <c r="J13" s="7"/>
      <c r="K13" s="7"/>
      <c r="L13" s="6">
        <v>8</v>
      </c>
      <c r="M13" s="6">
        <v>8.1999999999999993</v>
      </c>
      <c r="U13" s="1">
        <f t="shared" si="0"/>
        <v>0</v>
      </c>
      <c r="V13" s="1">
        <f t="shared" si="1"/>
        <v>11.234</v>
      </c>
      <c r="W13" s="1">
        <f t="shared" si="2"/>
        <v>0</v>
      </c>
      <c r="X13" s="1">
        <f t="shared" si="3"/>
        <v>0</v>
      </c>
    </row>
    <row r="14" spans="1:26" x14ac:dyDescent="0.35">
      <c r="A14" s="6">
        <v>11</v>
      </c>
      <c r="B14" s="6">
        <v>1.56</v>
      </c>
      <c r="C14" s="6">
        <v>15.2</v>
      </c>
      <c r="D14" s="6">
        <v>1.1419999999999999</v>
      </c>
      <c r="E14" s="6" t="s">
        <v>19</v>
      </c>
      <c r="F14" s="6">
        <v>8</v>
      </c>
      <c r="G14" s="6">
        <v>7.6</v>
      </c>
      <c r="H14" s="6">
        <v>8</v>
      </c>
      <c r="I14" s="6">
        <v>7.6</v>
      </c>
      <c r="J14" s="7"/>
      <c r="K14" s="7"/>
      <c r="L14" s="7"/>
      <c r="M14" s="7"/>
      <c r="U14" s="1">
        <f t="shared" si="0"/>
        <v>11.856</v>
      </c>
      <c r="V14" s="1">
        <f t="shared" si="1"/>
        <v>11.856</v>
      </c>
      <c r="W14" s="1">
        <f t="shared" si="2"/>
        <v>0</v>
      </c>
      <c r="X14" s="1">
        <f t="shared" si="3"/>
        <v>0</v>
      </c>
    </row>
    <row r="15" spans="1:26" x14ac:dyDescent="0.35">
      <c r="A15" s="6">
        <v>12</v>
      </c>
      <c r="B15" s="6">
        <v>1.69</v>
      </c>
      <c r="C15" s="6">
        <v>14.2</v>
      </c>
      <c r="D15" s="6">
        <v>1.1060000000000001</v>
      </c>
      <c r="E15" s="6" t="s">
        <v>20</v>
      </c>
      <c r="F15" s="7"/>
      <c r="G15" s="7"/>
      <c r="H15" s="6">
        <v>4</v>
      </c>
      <c r="I15" s="6">
        <v>3.5</v>
      </c>
      <c r="J15" s="6">
        <v>4</v>
      </c>
      <c r="K15" s="6">
        <v>3.5</v>
      </c>
      <c r="L15" s="6">
        <v>8</v>
      </c>
      <c r="M15" s="6">
        <v>7</v>
      </c>
      <c r="U15" s="1">
        <f t="shared" si="0"/>
        <v>0</v>
      </c>
      <c r="V15" s="1">
        <f t="shared" si="1"/>
        <v>5.915</v>
      </c>
      <c r="W15" s="1">
        <f t="shared" si="2"/>
        <v>5.915</v>
      </c>
      <c r="X15" s="1">
        <f t="shared" si="3"/>
        <v>6.76</v>
      </c>
    </row>
    <row r="16" spans="1:26" x14ac:dyDescent="0.35">
      <c r="A16" s="6">
        <v>13</v>
      </c>
      <c r="B16" s="6">
        <v>1.77</v>
      </c>
      <c r="C16" s="6">
        <v>14.2</v>
      </c>
      <c r="D16" s="6">
        <v>1.1180000000000001</v>
      </c>
      <c r="E16" s="6" t="s">
        <v>20</v>
      </c>
      <c r="F16" s="6">
        <v>8</v>
      </c>
      <c r="G16" s="6">
        <v>7</v>
      </c>
      <c r="H16" s="6">
        <v>8</v>
      </c>
      <c r="I16" s="6">
        <v>7</v>
      </c>
      <c r="J16" s="7"/>
      <c r="K16" s="7"/>
      <c r="L16" s="7"/>
      <c r="M16" s="7"/>
      <c r="U16" s="1">
        <f t="shared" si="0"/>
        <v>12.39</v>
      </c>
      <c r="V16" s="1">
        <f t="shared" si="1"/>
        <v>12.39</v>
      </c>
      <c r="W16" s="1">
        <f t="shared" si="2"/>
        <v>0</v>
      </c>
      <c r="X16" s="1">
        <f t="shared" si="3"/>
        <v>0</v>
      </c>
    </row>
    <row r="17" spans="1:24" x14ac:dyDescent="0.35">
      <c r="A17" s="6">
        <v>14</v>
      </c>
      <c r="B17" s="13">
        <v>2.58</v>
      </c>
      <c r="C17" s="6">
        <v>16.7</v>
      </c>
      <c r="D17" s="6">
        <v>1.44</v>
      </c>
      <c r="E17" s="6" t="s">
        <v>12</v>
      </c>
      <c r="F17" s="6">
        <v>4</v>
      </c>
      <c r="G17" s="6">
        <v>4.0999999999999996</v>
      </c>
      <c r="H17" s="6">
        <v>8</v>
      </c>
      <c r="I17" s="6">
        <v>8.3000000000000007</v>
      </c>
      <c r="J17" s="7"/>
      <c r="K17" s="7"/>
      <c r="L17" s="6">
        <v>4</v>
      </c>
      <c r="M17" s="6">
        <v>4.0999999999999996</v>
      </c>
      <c r="U17" s="1">
        <f t="shared" si="0"/>
        <v>10.577999999999999</v>
      </c>
      <c r="V17" s="1">
        <f t="shared" si="1"/>
        <v>21.414000000000001</v>
      </c>
      <c r="W17" s="1">
        <f t="shared" si="2"/>
        <v>0</v>
      </c>
      <c r="X17" s="1">
        <f t="shared" si="3"/>
        <v>0</v>
      </c>
    </row>
    <row r="18" spans="1:24" x14ac:dyDescent="0.35">
      <c r="A18" s="6">
        <v>15</v>
      </c>
      <c r="B18" s="6">
        <v>2.52</v>
      </c>
      <c r="C18" s="6">
        <v>22.8</v>
      </c>
      <c r="D18" s="6">
        <v>1.806</v>
      </c>
      <c r="E18" s="6" t="s">
        <v>21</v>
      </c>
      <c r="F18" s="6">
        <v>8</v>
      </c>
      <c r="G18" s="6">
        <v>11.3</v>
      </c>
      <c r="H18" s="6">
        <v>8</v>
      </c>
      <c r="I18" s="6">
        <v>11.3</v>
      </c>
      <c r="J18" s="7"/>
      <c r="K18" s="7"/>
      <c r="L18" s="7"/>
      <c r="M18" s="7"/>
      <c r="U18" s="1">
        <f t="shared" si="0"/>
        <v>28.476000000000003</v>
      </c>
      <c r="V18" s="1">
        <f t="shared" si="1"/>
        <v>28.476000000000003</v>
      </c>
      <c r="W18" s="1">
        <f t="shared" si="2"/>
        <v>0</v>
      </c>
      <c r="X18" s="1">
        <f t="shared" si="3"/>
        <v>0</v>
      </c>
    </row>
    <row r="19" spans="1:24" x14ac:dyDescent="0.35">
      <c r="A19" s="6">
        <v>16</v>
      </c>
      <c r="B19" s="6">
        <v>1.84</v>
      </c>
      <c r="C19" s="6">
        <v>28.4</v>
      </c>
      <c r="D19" s="6">
        <v>2.0249999999999999</v>
      </c>
      <c r="E19" s="6" t="s">
        <v>22</v>
      </c>
      <c r="F19" s="7"/>
      <c r="G19" s="7"/>
      <c r="H19" s="6">
        <v>4</v>
      </c>
      <c r="I19" s="6">
        <v>7</v>
      </c>
      <c r="J19" s="6">
        <v>4</v>
      </c>
      <c r="K19" s="6">
        <v>7</v>
      </c>
      <c r="L19" s="6">
        <v>8</v>
      </c>
      <c r="M19" s="6">
        <v>14.2</v>
      </c>
      <c r="U19" s="1">
        <f t="shared" si="0"/>
        <v>0</v>
      </c>
      <c r="V19" s="1">
        <f t="shared" si="1"/>
        <v>12.88</v>
      </c>
      <c r="W19" s="1">
        <f t="shared" si="2"/>
        <v>12.88</v>
      </c>
      <c r="X19" s="1">
        <f t="shared" si="3"/>
        <v>7.36</v>
      </c>
    </row>
    <row r="20" spans="1:24" x14ac:dyDescent="0.35">
      <c r="A20" s="6">
        <v>17</v>
      </c>
      <c r="B20" s="6">
        <v>1.56</v>
      </c>
      <c r="C20" s="6">
        <v>32.1</v>
      </c>
      <c r="D20" s="6">
        <v>2.1960000000000002</v>
      </c>
      <c r="E20" s="6" t="s">
        <v>23</v>
      </c>
      <c r="F20" s="6">
        <v>8</v>
      </c>
      <c r="G20" s="6">
        <v>16</v>
      </c>
      <c r="H20" s="6">
        <v>8</v>
      </c>
      <c r="I20" s="6">
        <v>16</v>
      </c>
      <c r="J20" s="7"/>
      <c r="K20" s="7"/>
      <c r="L20" s="7"/>
      <c r="M20" s="7"/>
      <c r="U20" s="1">
        <f t="shared" si="0"/>
        <v>24.96</v>
      </c>
      <c r="V20" s="1">
        <f t="shared" si="1"/>
        <v>24.96</v>
      </c>
      <c r="W20" s="1">
        <f t="shared" si="2"/>
        <v>0</v>
      </c>
      <c r="X20" s="1">
        <f t="shared" si="3"/>
        <v>0</v>
      </c>
    </row>
    <row r="21" spans="1:24" x14ac:dyDescent="0.35">
      <c r="A21" s="6">
        <v>18</v>
      </c>
      <c r="B21" s="6">
        <v>1.1399999999999999</v>
      </c>
      <c r="C21" s="6">
        <v>34.299999999999997</v>
      </c>
      <c r="D21" s="6">
        <v>2.2519999999999998</v>
      </c>
      <c r="E21" s="6" t="s">
        <v>24</v>
      </c>
      <c r="F21" s="7"/>
      <c r="G21" s="7"/>
      <c r="H21" s="6">
        <v>8</v>
      </c>
      <c r="I21" s="6">
        <v>17.100000000000001</v>
      </c>
      <c r="J21" s="7"/>
      <c r="K21" s="7"/>
      <c r="L21" s="6">
        <v>8</v>
      </c>
      <c r="M21" s="6">
        <v>17.100000000000001</v>
      </c>
      <c r="U21" s="1">
        <f t="shared" si="0"/>
        <v>0</v>
      </c>
      <c r="V21" s="1">
        <f t="shared" si="1"/>
        <v>19.494</v>
      </c>
      <c r="W21" s="1">
        <f t="shared" si="2"/>
        <v>0</v>
      </c>
      <c r="X21" s="1">
        <f t="shared" si="3"/>
        <v>0</v>
      </c>
    </row>
    <row r="22" spans="1:24" x14ac:dyDescent="0.35">
      <c r="A22" s="6">
        <v>19</v>
      </c>
      <c r="B22" s="6">
        <v>1</v>
      </c>
      <c r="C22" s="6">
        <v>34.799999999999997</v>
      </c>
      <c r="D22" s="6">
        <v>2.2519999999999998</v>
      </c>
      <c r="E22" s="6" t="s">
        <v>24</v>
      </c>
      <c r="F22" s="6">
        <v>8</v>
      </c>
      <c r="G22" s="6">
        <v>17.3</v>
      </c>
      <c r="H22" s="6">
        <v>8</v>
      </c>
      <c r="I22" s="6">
        <v>17.3</v>
      </c>
      <c r="J22" s="7"/>
      <c r="K22" s="7"/>
      <c r="L22" s="7"/>
      <c r="M22" s="7"/>
      <c r="U22" s="1">
        <f t="shared" si="0"/>
        <v>17.3</v>
      </c>
      <c r="V22" s="1">
        <f t="shared" si="1"/>
        <v>17.3</v>
      </c>
      <c r="W22" s="1">
        <f t="shared" si="2"/>
        <v>0</v>
      </c>
      <c r="X22" s="1">
        <f t="shared" si="3"/>
        <v>0</v>
      </c>
    </row>
    <row r="23" spans="1:24" x14ac:dyDescent="0.35">
      <c r="A23" s="6">
        <v>20</v>
      </c>
      <c r="B23" s="6">
        <v>1</v>
      </c>
      <c r="C23" s="6">
        <v>34.5</v>
      </c>
      <c r="D23" s="6">
        <v>2.2440000000000002</v>
      </c>
      <c r="E23" s="6" t="s">
        <v>24</v>
      </c>
      <c r="F23" s="7"/>
      <c r="G23" s="7"/>
      <c r="H23" s="6">
        <v>4</v>
      </c>
      <c r="I23" s="6">
        <v>8.5</v>
      </c>
      <c r="J23" s="6">
        <v>4</v>
      </c>
      <c r="K23" s="6">
        <v>8.5</v>
      </c>
      <c r="L23" s="6">
        <v>8</v>
      </c>
      <c r="M23" s="6">
        <v>17.2</v>
      </c>
      <c r="U23" s="1">
        <f t="shared" si="0"/>
        <v>0</v>
      </c>
      <c r="V23" s="1">
        <f t="shared" si="1"/>
        <v>8.5</v>
      </c>
      <c r="W23" s="1">
        <f t="shared" si="2"/>
        <v>8.5</v>
      </c>
      <c r="X23" s="1">
        <f t="shared" si="3"/>
        <v>4</v>
      </c>
    </row>
    <row r="24" spans="1:24" x14ac:dyDescent="0.35">
      <c r="A24" s="6">
        <v>21</v>
      </c>
      <c r="B24" s="6">
        <v>1</v>
      </c>
      <c r="C24" s="6">
        <v>34.5</v>
      </c>
      <c r="D24" s="6">
        <v>2.2400000000000002</v>
      </c>
      <c r="E24" s="6" t="s">
        <v>24</v>
      </c>
      <c r="F24" s="6">
        <v>8</v>
      </c>
      <c r="G24" s="6">
        <v>17.2</v>
      </c>
      <c r="H24" s="6">
        <v>8</v>
      </c>
      <c r="I24" s="6">
        <v>17.2</v>
      </c>
      <c r="J24" s="7"/>
      <c r="K24" s="7"/>
      <c r="L24" s="7"/>
      <c r="M24" s="7"/>
      <c r="U24" s="1">
        <f t="shared" si="0"/>
        <v>17.2</v>
      </c>
      <c r="V24" s="1">
        <f t="shared" si="1"/>
        <v>17.2</v>
      </c>
      <c r="W24" s="1">
        <f t="shared" si="2"/>
        <v>0</v>
      </c>
      <c r="X24" s="1">
        <f t="shared" si="3"/>
        <v>0</v>
      </c>
    </row>
    <row r="25" spans="1:24" x14ac:dyDescent="0.35">
      <c r="A25" s="6">
        <v>22</v>
      </c>
      <c r="B25" s="6">
        <v>1</v>
      </c>
      <c r="C25" s="6">
        <v>34.700000000000003</v>
      </c>
      <c r="D25" s="6">
        <v>2.2599999999999998</v>
      </c>
      <c r="E25" s="6" t="s">
        <v>25</v>
      </c>
      <c r="F25" s="7"/>
      <c r="G25" s="7"/>
      <c r="H25" s="6">
        <v>8</v>
      </c>
      <c r="I25" s="6">
        <v>17.3</v>
      </c>
      <c r="J25" s="7"/>
      <c r="K25" s="7"/>
      <c r="L25" s="6">
        <v>8</v>
      </c>
      <c r="M25" s="6">
        <v>17.3</v>
      </c>
      <c r="U25" s="1">
        <f t="shared" si="0"/>
        <v>0</v>
      </c>
      <c r="V25" s="1">
        <f t="shared" si="1"/>
        <v>17.3</v>
      </c>
      <c r="W25" s="1">
        <f t="shared" si="2"/>
        <v>0</v>
      </c>
      <c r="X25" s="1">
        <f t="shared" si="3"/>
        <v>0</v>
      </c>
    </row>
    <row r="26" spans="1:24" x14ac:dyDescent="0.35">
      <c r="A26" s="6">
        <v>23</v>
      </c>
      <c r="B26" s="6">
        <v>1</v>
      </c>
      <c r="C26" s="6">
        <v>35</v>
      </c>
      <c r="D26" s="6">
        <v>2.2799999999999998</v>
      </c>
      <c r="E26" s="6" t="s">
        <v>26</v>
      </c>
      <c r="F26" s="6">
        <v>8</v>
      </c>
      <c r="G26" s="6">
        <v>17.5</v>
      </c>
      <c r="H26" s="6">
        <v>8</v>
      </c>
      <c r="I26" s="6">
        <v>17.5</v>
      </c>
      <c r="J26" s="7"/>
      <c r="K26" s="7"/>
      <c r="L26" s="7"/>
      <c r="M26" s="7"/>
      <c r="U26" s="1">
        <f t="shared" si="0"/>
        <v>17.5</v>
      </c>
      <c r="V26" s="1">
        <f t="shared" si="1"/>
        <v>17.5</v>
      </c>
      <c r="W26" s="1">
        <f t="shared" si="2"/>
        <v>0</v>
      </c>
      <c r="X26" s="1">
        <f t="shared" si="3"/>
        <v>0</v>
      </c>
    </row>
    <row r="27" spans="1:24" x14ac:dyDescent="0.35">
      <c r="A27" s="6">
        <v>24</v>
      </c>
      <c r="B27" s="6">
        <v>1</v>
      </c>
      <c r="C27" s="6">
        <v>35.4</v>
      </c>
      <c r="D27" s="6">
        <v>2.2989999999999999</v>
      </c>
      <c r="E27" s="6" t="s">
        <v>27</v>
      </c>
      <c r="F27" s="7"/>
      <c r="G27" s="7"/>
      <c r="H27" s="6">
        <v>4</v>
      </c>
      <c r="I27" s="6">
        <v>8.8000000000000007</v>
      </c>
      <c r="J27" s="6">
        <v>4</v>
      </c>
      <c r="K27" s="6">
        <v>8.8000000000000007</v>
      </c>
      <c r="L27" s="6">
        <v>8</v>
      </c>
      <c r="M27" s="6">
        <v>17.600000000000001</v>
      </c>
      <c r="U27" s="1">
        <f t="shared" si="0"/>
        <v>0</v>
      </c>
      <c r="V27" s="1">
        <f t="shared" si="1"/>
        <v>8.8000000000000007</v>
      </c>
      <c r="W27" s="1">
        <f t="shared" si="2"/>
        <v>8.8000000000000007</v>
      </c>
      <c r="X27" s="1">
        <f t="shared" si="3"/>
        <v>4</v>
      </c>
    </row>
    <row r="28" spans="1:24" x14ac:dyDescent="0.35">
      <c r="A28" s="6">
        <v>25</v>
      </c>
      <c r="B28" s="6">
        <v>1</v>
      </c>
      <c r="C28" s="6">
        <v>35.700000000000003</v>
      </c>
      <c r="D28" s="6">
        <v>2.3149999999999999</v>
      </c>
      <c r="E28" s="6" t="s">
        <v>27</v>
      </c>
      <c r="F28" s="6">
        <v>8</v>
      </c>
      <c r="G28" s="6">
        <v>17.8</v>
      </c>
      <c r="H28" s="6">
        <v>8</v>
      </c>
      <c r="I28" s="6">
        <v>17.8</v>
      </c>
      <c r="J28" s="7"/>
      <c r="K28" s="7"/>
      <c r="L28" s="7"/>
      <c r="M28" s="7"/>
      <c r="U28" s="1">
        <f t="shared" si="0"/>
        <v>17.8</v>
      </c>
      <c r="V28" s="1">
        <f t="shared" si="1"/>
        <v>17.8</v>
      </c>
      <c r="W28" s="1">
        <f t="shared" si="2"/>
        <v>0</v>
      </c>
      <c r="X28" s="1">
        <f t="shared" si="3"/>
        <v>0</v>
      </c>
    </row>
    <row r="29" spans="1:24" x14ac:dyDescent="0.35">
      <c r="A29" s="6">
        <v>26</v>
      </c>
      <c r="B29" s="6">
        <v>1</v>
      </c>
      <c r="C29" s="6">
        <v>35.9</v>
      </c>
      <c r="D29" s="6">
        <v>2.327</v>
      </c>
      <c r="E29" s="6" t="s">
        <v>28</v>
      </c>
      <c r="F29" s="7"/>
      <c r="G29" s="7"/>
      <c r="H29" s="6">
        <v>8</v>
      </c>
      <c r="I29" s="6">
        <v>17.899999999999999</v>
      </c>
      <c r="J29" s="7"/>
      <c r="K29" s="7"/>
      <c r="L29" s="6">
        <v>8</v>
      </c>
      <c r="M29" s="6">
        <v>17.899999999999999</v>
      </c>
      <c r="U29" s="1">
        <f t="shared" si="0"/>
        <v>0</v>
      </c>
      <c r="V29" s="1">
        <f t="shared" si="1"/>
        <v>17.899999999999999</v>
      </c>
      <c r="W29" s="1">
        <f t="shared" si="2"/>
        <v>0</v>
      </c>
      <c r="X29" s="1">
        <f t="shared" si="3"/>
        <v>0</v>
      </c>
    </row>
    <row r="30" spans="1:24" x14ac:dyDescent="0.35">
      <c r="A30" s="6">
        <v>27</v>
      </c>
      <c r="B30" s="6">
        <v>1</v>
      </c>
      <c r="C30" s="6">
        <v>36.1</v>
      </c>
      <c r="D30" s="6">
        <v>2.335</v>
      </c>
      <c r="E30" s="6" t="s">
        <v>28</v>
      </c>
      <c r="F30" s="6">
        <v>8</v>
      </c>
      <c r="G30" s="6">
        <v>18</v>
      </c>
      <c r="H30" s="6">
        <v>8</v>
      </c>
      <c r="I30" s="6">
        <v>18</v>
      </c>
      <c r="J30" s="7"/>
      <c r="K30" s="7"/>
      <c r="L30" s="7"/>
      <c r="M30" s="7"/>
      <c r="U30" s="1">
        <f t="shared" si="0"/>
        <v>18</v>
      </c>
      <c r="V30" s="1">
        <f t="shared" si="1"/>
        <v>18</v>
      </c>
      <c r="W30" s="1">
        <f t="shared" si="2"/>
        <v>0</v>
      </c>
      <c r="X30" s="1">
        <f t="shared" si="3"/>
        <v>0</v>
      </c>
    </row>
    <row r="31" spans="1:24" x14ac:dyDescent="0.35">
      <c r="A31" s="6">
        <v>28</v>
      </c>
      <c r="B31" s="6">
        <v>1</v>
      </c>
      <c r="C31" s="6">
        <v>36.200000000000003</v>
      </c>
      <c r="D31" s="6">
        <v>2.347</v>
      </c>
      <c r="E31" s="6" t="s">
        <v>29</v>
      </c>
      <c r="F31" s="7"/>
      <c r="G31" s="7"/>
      <c r="H31" s="6">
        <v>4</v>
      </c>
      <c r="I31" s="6">
        <v>9</v>
      </c>
      <c r="J31" s="6">
        <v>4</v>
      </c>
      <c r="K31" s="6">
        <v>9</v>
      </c>
      <c r="L31" s="6">
        <v>8</v>
      </c>
      <c r="M31" s="6">
        <v>18.100000000000001</v>
      </c>
      <c r="U31" s="1">
        <f t="shared" si="0"/>
        <v>0</v>
      </c>
      <c r="V31" s="1">
        <f t="shared" si="1"/>
        <v>9</v>
      </c>
      <c r="W31" s="1">
        <f t="shared" si="2"/>
        <v>9</v>
      </c>
      <c r="X31" s="1">
        <f t="shared" si="3"/>
        <v>4</v>
      </c>
    </row>
    <row r="32" spans="1:24" x14ac:dyDescent="0.35">
      <c r="A32" s="6">
        <v>29</v>
      </c>
      <c r="B32" s="6">
        <v>1</v>
      </c>
      <c r="C32" s="6">
        <v>35.700000000000003</v>
      </c>
      <c r="D32" s="6">
        <v>2.347</v>
      </c>
      <c r="E32" s="6" t="s">
        <v>29</v>
      </c>
      <c r="F32" s="6">
        <v>8</v>
      </c>
      <c r="G32" s="6">
        <v>18</v>
      </c>
      <c r="H32" s="6">
        <v>8</v>
      </c>
      <c r="I32" s="6">
        <v>18</v>
      </c>
      <c r="J32" s="7"/>
      <c r="K32" s="7"/>
      <c r="L32" s="7"/>
      <c r="M32" s="7"/>
      <c r="U32" s="1">
        <f t="shared" si="0"/>
        <v>18</v>
      </c>
      <c r="V32" s="1">
        <f t="shared" si="1"/>
        <v>18</v>
      </c>
      <c r="W32" s="1">
        <f t="shared" si="2"/>
        <v>0</v>
      </c>
      <c r="X32" s="1">
        <f t="shared" si="3"/>
        <v>0</v>
      </c>
    </row>
    <row r="33" spans="3:25" x14ac:dyDescent="0.35">
      <c r="C33" s="1"/>
      <c r="D33" s="4" t="s">
        <v>31</v>
      </c>
      <c r="E33" s="3">
        <v>132</v>
      </c>
      <c r="F33" s="1"/>
      <c r="G33" s="4"/>
      <c r="H33" s="4"/>
      <c r="I33" s="1"/>
      <c r="J33" s="1"/>
      <c r="K33" s="4" t="s">
        <v>32</v>
      </c>
      <c r="L33" s="5">
        <f>(V33*K1)/144</f>
        <v>1.45796875</v>
      </c>
      <c r="V33">
        <f>SUM(U4:U32)</f>
        <v>239.94000000000003</v>
      </c>
      <c r="W33">
        <f t="shared" ref="W33:Y33" si="4">SUM(V4:V32)</f>
        <v>388.49900000000002</v>
      </c>
      <c r="X33">
        <f t="shared" si="4"/>
        <v>54.195000000000007</v>
      </c>
      <c r="Y33">
        <f t="shared" si="4"/>
        <v>34.120000000000005</v>
      </c>
    </row>
    <row r="34" spans="3:25" x14ac:dyDescent="0.35">
      <c r="C34" s="1"/>
      <c r="D34" s="4" t="s">
        <v>43</v>
      </c>
      <c r="E34" s="3">
        <v>196</v>
      </c>
      <c r="F34" s="1"/>
      <c r="G34" s="4"/>
      <c r="H34" s="4"/>
      <c r="I34" s="1"/>
      <c r="J34" s="1"/>
      <c r="K34" s="4" t="s">
        <v>33</v>
      </c>
      <c r="L34" s="5">
        <f>(W33*K1)/144</f>
        <v>2.360671006944445</v>
      </c>
    </row>
    <row r="35" spans="3:25" x14ac:dyDescent="0.35">
      <c r="C35" s="1"/>
      <c r="D35" s="4" t="s">
        <v>44</v>
      </c>
      <c r="E35" s="3">
        <v>28</v>
      </c>
      <c r="F35" s="1"/>
      <c r="G35" s="4"/>
      <c r="H35" s="4"/>
      <c r="I35" s="1"/>
      <c r="J35" s="1"/>
      <c r="K35" s="4" t="s">
        <v>34</v>
      </c>
      <c r="L35" s="5">
        <f>(X33*K1)/144</f>
        <v>0.32930989583333337</v>
      </c>
    </row>
    <row r="36" spans="3:25" x14ac:dyDescent="0.35">
      <c r="C36" s="1"/>
      <c r="D36" s="4" t="s">
        <v>35</v>
      </c>
      <c r="E36" s="3">
        <v>108</v>
      </c>
      <c r="F36" s="1"/>
      <c r="G36" s="4"/>
      <c r="H36" s="4"/>
      <c r="I36" s="1"/>
      <c r="J36" s="1"/>
      <c r="K36" s="4" t="s">
        <v>36</v>
      </c>
      <c r="L36" s="5">
        <f>(Y33*K1)/144</f>
        <v>0.20732638888888891</v>
      </c>
    </row>
    <row r="37" spans="3:25" x14ac:dyDescent="0.35">
      <c r="C37" s="1"/>
      <c r="D37" s="4" t="s">
        <v>37</v>
      </c>
      <c r="E37" s="9" t="s">
        <v>49</v>
      </c>
      <c r="F37" s="3">
        <f>SUM(E33:E36)</f>
        <v>464</v>
      </c>
      <c r="G37" s="1"/>
      <c r="H37" s="1"/>
      <c r="I37" s="1"/>
      <c r="J37" s="1"/>
      <c r="K37" s="4" t="s">
        <v>38</v>
      </c>
      <c r="L37" s="2">
        <f>SUM(L33:L36)</f>
        <v>4.3552760416666674</v>
      </c>
    </row>
  </sheetData>
  <conditionalFormatting sqref="A2:M32">
    <cfRule type="notContainsBlanks" priority="2">
      <formula>LEN(TRIM(A2))&gt;0</formula>
    </cfRule>
  </conditionalFormatting>
  <conditionalFormatting sqref="B4:B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cp:lastPrinted>2021-09-23T03:04:00Z</cp:lastPrinted>
  <dcterms:modified xsi:type="dcterms:W3CDTF">2021-09-23T03:04:27Z</dcterms:modified>
</cp:coreProperties>
</file>