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B36DB305-2A0A-4173-A8CA-DB2B28EA6171}" xr6:coauthVersionLast="47" xr6:coauthVersionMax="47" xr10:uidLastSave="{00000000-0000-0000-0000-000000000000}"/>
  <bookViews>
    <workbookView xWindow="1510" yWindow="990" windowWidth="28800" windowHeight="15460" xr2:uid="{00000000-000D-0000-FFFF-FFFF00000000}"/>
  </bookViews>
  <sheets>
    <sheet name="Sheet1" sheetId="1" r:id="rId1"/>
  </sheets>
  <definedNames>
    <definedName name="_xlnm.Print_Area" localSheetId="0">Sheet1!$A$1:$P$43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2" i="1" l="1"/>
  <c r="C39" i="1"/>
  <c r="C43" i="1"/>
</calcChain>
</file>

<file path=xl/sharedStrings.xml><?xml version="1.0" encoding="utf-8"?>
<sst xmlns="http://schemas.openxmlformats.org/spreadsheetml/2006/main" count="204" uniqueCount="101">
  <si>
    <t>Row</t>
  </si>
  <si>
    <t>Board</t>
  </si>
  <si>
    <t>Width</t>
  </si>
  <si>
    <t>Length</t>
  </si>
  <si>
    <t>18.3</t>
  </si>
  <si>
    <t>18.4</t>
  </si>
  <si>
    <t>Segment</t>
  </si>
  <si>
    <t>S.E.L.</t>
  </si>
  <si>
    <t>Species</t>
  </si>
  <si>
    <t>Wenge</t>
  </si>
  <si>
    <t>.875</t>
  </si>
  <si>
    <t>Angle</t>
  </si>
  <si>
    <t>7.50°</t>
  </si>
  <si>
    <t>Diameter</t>
  </si>
  <si>
    <t>Outer</t>
  </si>
  <si>
    <t>7.8"</t>
  </si>
  <si>
    <t>7.6"</t>
  </si>
  <si>
    <t>7.4"</t>
  </si>
  <si>
    <t>7.2"</t>
  </si>
  <si>
    <t>7"</t>
  </si>
  <si>
    <t>6.8"</t>
  </si>
  <si>
    <t>6.6"</t>
  </si>
  <si>
    <t>6.4"</t>
  </si>
  <si>
    <t>6.2"</t>
  </si>
  <si>
    <t>6"</t>
  </si>
  <si>
    <t>5.7"</t>
  </si>
  <si>
    <t>5.6"</t>
  </si>
  <si>
    <t>9.1"</t>
  </si>
  <si>
    <t>10.2"</t>
  </si>
  <si>
    <t>11"</t>
  </si>
  <si>
    <t>11.3"</t>
  </si>
  <si>
    <t>11.4"</t>
  </si>
  <si>
    <t>11.5"</t>
  </si>
  <si>
    <t>11.6"</t>
  </si>
  <si>
    <t>11.7"</t>
  </si>
  <si>
    <t>11.8"</t>
  </si>
  <si>
    <t>Inner</t>
  </si>
  <si>
    <t>1.1"</t>
  </si>
  <si>
    <t>1.7"</t>
  </si>
  <si>
    <t>2.3"</t>
  </si>
  <si>
    <t>2.9"</t>
  </si>
  <si>
    <t>3.5"</t>
  </si>
  <si>
    <t>4"</t>
  </si>
  <si>
    <t>4.5"</t>
  </si>
  <si>
    <t>4.7"</t>
  </si>
  <si>
    <t>4.2"</t>
  </si>
  <si>
    <t>3.7"</t>
  </si>
  <si>
    <t>3.1"</t>
  </si>
  <si>
    <t>2.7"</t>
  </si>
  <si>
    <t>2.6"</t>
  </si>
  <si>
    <t>4.6"</t>
  </si>
  <si>
    <t>8.4"</t>
  </si>
  <si>
    <t>9.5"</t>
  </si>
  <si>
    <t>9.8"</t>
  </si>
  <si>
    <t>9.6"</t>
  </si>
  <si>
    <t>9.7"</t>
  </si>
  <si>
    <t>9.9"</t>
  </si>
  <si>
    <t>10"</t>
  </si>
  <si>
    <t>10.1"</t>
  </si>
  <si>
    <t>Maple</t>
  </si>
  <si>
    <t>12</t>
  </si>
  <si>
    <t>18</t>
  </si>
  <si>
    <t>Lgth</t>
  </si>
  <si>
    <t>8.4</t>
  </si>
  <si>
    <t>8.7</t>
  </si>
  <si>
    <t>13.7</t>
  </si>
  <si>
    <t>9.4</t>
  </si>
  <si>
    <t>9.7</t>
  </si>
  <si>
    <t>9.9</t>
  </si>
  <si>
    <t>15.2</t>
  </si>
  <si>
    <t>10.1</t>
  </si>
  <si>
    <t>9.6</t>
  </si>
  <si>
    <t>9</t>
  </si>
  <si>
    <t>12.6</t>
  </si>
  <si>
    <t>7.9</t>
  </si>
  <si>
    <t>9.2</t>
  </si>
  <si>
    <t>14.9</t>
  </si>
  <si>
    <t>16.7</t>
  </si>
  <si>
    <t>17.8</t>
  </si>
  <si>
    <t>27</t>
  </si>
  <si>
    <t>27.2</t>
  </si>
  <si>
    <t>18.5</t>
  </si>
  <si>
    <t>28</t>
  </si>
  <si>
    <t>18.7</t>
  </si>
  <si>
    <t>6</t>
  </si>
  <si>
    <t>4.5</t>
  </si>
  <si>
    <t>5</t>
  </si>
  <si>
    <t>4.1</t>
  </si>
  <si>
    <t>8.9</t>
  </si>
  <si>
    <t>Inches of Wenge</t>
  </si>
  <si>
    <t>Segments of Wenge</t>
  </si>
  <si>
    <t>Inches of Maple</t>
  </si>
  <si>
    <t>Segments of Maple</t>
  </si>
  <si>
    <t>Segments per Ring</t>
  </si>
  <si>
    <t>Ring Thickness</t>
  </si>
  <si>
    <t>BF of Maple</t>
  </si>
  <si>
    <t>BF of Wenge</t>
  </si>
  <si>
    <t>Total # of Pieces</t>
  </si>
  <si>
    <t>12.5" Diameter Head</t>
  </si>
  <si>
    <t>25" Tall  X</t>
  </si>
  <si>
    <t>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</si>
</sst>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left"/>
    </xf>
    <xf numFmtId="2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right"/>
    </xf>
    <xf numFmtId="2" fontId="0" fillId="0" borderId="0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</xdr:colOff>
      <xdr:row>3</xdr:row>
      <xdr:rowOff>57150</xdr:rowOff>
    </xdr:from>
    <xdr:to>
      <xdr:col>15</xdr:col>
      <xdr:colOff>508180</xdr:colOff>
      <xdr:row>27</xdr:row>
      <xdr:rowOff>171683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09522-93CC-468C-B9A8-D1DC289D2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63150" y="609600"/>
          <a:ext cx="3499030" cy="4534133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34</xdr:row>
      <xdr:rowOff>88900</xdr:rowOff>
    </xdr:from>
    <xdr:to>
      <xdr:col>8</xdr:col>
      <xdr:colOff>539750</xdr:colOff>
      <xdr:row>41</xdr:row>
      <xdr:rowOff>123825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A83C3BB8-56CC-45EF-A444-342DFC8C0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3327400" y="6350000"/>
          <a:ext cx="2305050" cy="1323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3"/>
  <sheetViews>
    <sheetView tabSelected="1" workbookViewId="0">
      <selection activeCell="A43" sqref="A37:B43"/>
    </sheetView>
  </sheetViews>
  <sheetFormatPr defaultColWidth="9.26953125" defaultRowHeight="14.5" x14ac:dyDescent="0.35"/>
  <cols>
    <col min="1" max="1" width="4.7265625" customWidth="1"/>
    <col min="2" max="2" width="11.36328125" customWidth="1"/>
    <col min="3" max="3" width="10.90625" customWidth="1"/>
    <col min="5" max="5" width="9.453125" customWidth="1"/>
    <col min="7" max="7" width="8.6328125" customWidth="1"/>
  </cols>
  <sheetData>
    <row r="1" spans="1:10" x14ac:dyDescent="0.35">
      <c r="B1" t="s">
        <v>1</v>
      </c>
      <c r="C1" t="s">
        <v>1</v>
      </c>
      <c r="D1" t="s">
        <v>6</v>
      </c>
      <c r="E1" t="s">
        <v>13</v>
      </c>
      <c r="G1" t="s">
        <v>8</v>
      </c>
    </row>
    <row r="2" spans="1:10" x14ac:dyDescent="0.35">
      <c r="A2" t="s">
        <v>0</v>
      </c>
      <c r="B2" t="s">
        <v>2</v>
      </c>
      <c r="C2" t="s">
        <v>3</v>
      </c>
      <c r="D2" t="s">
        <v>7</v>
      </c>
      <c r="E2" t="s">
        <v>14</v>
      </c>
      <c r="F2" t="s">
        <v>36</v>
      </c>
      <c r="G2" t="s">
        <v>59</v>
      </c>
      <c r="H2" t="s">
        <v>62</v>
      </c>
      <c r="I2" t="s">
        <v>9</v>
      </c>
      <c r="J2" t="s">
        <v>62</v>
      </c>
    </row>
    <row r="3" spans="1:10" x14ac:dyDescent="0.35">
      <c r="A3">
        <v>1</v>
      </c>
      <c r="B3" s="2">
        <v>1.125</v>
      </c>
      <c r="C3" s="2">
        <v>17</v>
      </c>
      <c r="D3" s="2">
        <v>1.032</v>
      </c>
      <c r="E3" s="5" t="s">
        <v>15</v>
      </c>
      <c r="F3" s="5" t="s">
        <v>37</v>
      </c>
      <c r="G3" s="5" t="s">
        <v>60</v>
      </c>
      <c r="H3" s="5" t="s">
        <v>63</v>
      </c>
      <c r="I3" s="5" t="s">
        <v>60</v>
      </c>
      <c r="J3" s="5" t="s">
        <v>63</v>
      </c>
    </row>
    <row r="4" spans="1:10" x14ac:dyDescent="0.35">
      <c r="A4">
        <v>2</v>
      </c>
      <c r="B4" s="2">
        <v>1.125</v>
      </c>
      <c r="C4" s="2">
        <v>17.600000000000001</v>
      </c>
      <c r="D4" s="2">
        <v>1.006</v>
      </c>
      <c r="E4" s="5" t="s">
        <v>16</v>
      </c>
      <c r="F4" s="5" t="s">
        <v>38</v>
      </c>
      <c r="G4" s="5" t="s">
        <v>60</v>
      </c>
      <c r="H4" s="5" t="s">
        <v>64</v>
      </c>
      <c r="I4" s="5" t="s">
        <v>60</v>
      </c>
      <c r="J4" s="5" t="s">
        <v>64</v>
      </c>
    </row>
    <row r="5" spans="1:10" x14ac:dyDescent="0.35">
      <c r="A5">
        <v>3</v>
      </c>
      <c r="B5" s="2">
        <v>1.125</v>
      </c>
      <c r="C5" s="2">
        <v>18.3</v>
      </c>
      <c r="D5" s="2">
        <v>0.97699999999999998</v>
      </c>
      <c r="E5" s="5" t="s">
        <v>17</v>
      </c>
      <c r="F5" s="5" t="s">
        <v>39</v>
      </c>
      <c r="G5" s="5" t="s">
        <v>61</v>
      </c>
      <c r="H5" s="5" t="s">
        <v>65</v>
      </c>
      <c r="I5" s="5" t="s">
        <v>84</v>
      </c>
      <c r="J5" s="5" t="s">
        <v>85</v>
      </c>
    </row>
    <row r="6" spans="1:10" x14ac:dyDescent="0.35">
      <c r="A6">
        <v>4</v>
      </c>
      <c r="B6" s="2">
        <v>1.125</v>
      </c>
      <c r="C6" s="2">
        <v>18.899999999999999</v>
      </c>
      <c r="D6" s="2">
        <v>0.95099999999999996</v>
      </c>
      <c r="E6" s="5" t="s">
        <v>18</v>
      </c>
      <c r="F6" s="5" t="s">
        <v>40</v>
      </c>
      <c r="G6" s="5" t="s">
        <v>60</v>
      </c>
      <c r="H6" s="5" t="s">
        <v>66</v>
      </c>
      <c r="I6" s="5" t="s">
        <v>60</v>
      </c>
      <c r="J6" s="5" t="s">
        <v>66</v>
      </c>
    </row>
    <row r="7" spans="1:10" x14ac:dyDescent="0.35">
      <c r="A7">
        <v>5</v>
      </c>
      <c r="B7" s="2">
        <v>1.125</v>
      </c>
      <c r="C7" s="2">
        <v>19.5</v>
      </c>
      <c r="D7" s="2">
        <v>0.92400000000000004</v>
      </c>
      <c r="E7" s="5" t="s">
        <v>19</v>
      </c>
      <c r="F7" s="5" t="s">
        <v>41</v>
      </c>
      <c r="G7" s="5" t="s">
        <v>60</v>
      </c>
      <c r="H7" s="5" t="s">
        <v>67</v>
      </c>
      <c r="I7" s="5" t="s">
        <v>60</v>
      </c>
      <c r="J7" s="5" t="s">
        <v>67</v>
      </c>
    </row>
    <row r="8" spans="1:10" x14ac:dyDescent="0.35">
      <c r="A8">
        <v>6</v>
      </c>
      <c r="B8" s="2">
        <v>1.125</v>
      </c>
      <c r="C8" s="2">
        <v>20</v>
      </c>
      <c r="D8" s="2">
        <v>0.89500000000000002</v>
      </c>
      <c r="E8" s="5" t="s">
        <v>20</v>
      </c>
      <c r="F8" s="5" t="s">
        <v>42</v>
      </c>
      <c r="G8" s="5" t="s">
        <v>60</v>
      </c>
      <c r="H8" s="5" t="s">
        <v>68</v>
      </c>
      <c r="I8" s="5" t="s">
        <v>60</v>
      </c>
      <c r="J8" s="5" t="s">
        <v>68</v>
      </c>
    </row>
    <row r="9" spans="1:10" x14ac:dyDescent="0.35">
      <c r="A9">
        <v>7</v>
      </c>
      <c r="B9" s="2">
        <v>1.1000000000000001</v>
      </c>
      <c r="C9" s="2">
        <v>20.399999999999999</v>
      </c>
      <c r="D9" s="2">
        <v>0.86899999999999999</v>
      </c>
      <c r="E9" s="5" t="s">
        <v>21</v>
      </c>
      <c r="F9" s="5" t="s">
        <v>43</v>
      </c>
      <c r="G9" s="5" t="s">
        <v>61</v>
      </c>
      <c r="H9" s="5" t="s">
        <v>69</v>
      </c>
      <c r="I9" s="5" t="s">
        <v>84</v>
      </c>
      <c r="J9" s="5" t="s">
        <v>86</v>
      </c>
    </row>
    <row r="10" spans="1:10" x14ac:dyDescent="0.35">
      <c r="A10">
        <v>8</v>
      </c>
      <c r="B10" s="2">
        <v>1</v>
      </c>
      <c r="C10" s="2">
        <v>20.399999999999999</v>
      </c>
      <c r="D10" s="2">
        <v>0.84499999999999997</v>
      </c>
      <c r="E10" s="5" t="s">
        <v>22</v>
      </c>
      <c r="F10" s="5" t="s">
        <v>44</v>
      </c>
      <c r="G10" s="5" t="s">
        <v>60</v>
      </c>
      <c r="H10" s="5" t="s">
        <v>70</v>
      </c>
      <c r="I10" s="5" t="s">
        <v>60</v>
      </c>
      <c r="J10" s="5" t="s">
        <v>70</v>
      </c>
    </row>
    <row r="11" spans="1:10" x14ac:dyDescent="0.35">
      <c r="A11">
        <v>9</v>
      </c>
      <c r="B11" s="2">
        <v>1</v>
      </c>
      <c r="C11" s="2">
        <v>19.399999999999999</v>
      </c>
      <c r="D11" s="2">
        <v>0.81899999999999995</v>
      </c>
      <c r="E11" s="5" t="s">
        <v>23</v>
      </c>
      <c r="F11" s="5" t="s">
        <v>45</v>
      </c>
      <c r="G11" s="5" t="s">
        <v>60</v>
      </c>
      <c r="H11" s="5" t="s">
        <v>71</v>
      </c>
      <c r="I11" s="5" t="s">
        <v>60</v>
      </c>
      <c r="J11" s="5" t="s">
        <v>71</v>
      </c>
    </row>
    <row r="12" spans="1:10" x14ac:dyDescent="0.35">
      <c r="A12">
        <v>10</v>
      </c>
      <c r="B12" s="2">
        <v>1.1599999999999999</v>
      </c>
      <c r="C12" s="2">
        <v>18.100000000000001</v>
      </c>
      <c r="D12" s="2">
        <v>0.78500000000000003</v>
      </c>
      <c r="E12" s="5" t="s">
        <v>24</v>
      </c>
      <c r="F12" s="5" t="s">
        <v>46</v>
      </c>
      <c r="G12" s="5" t="s">
        <v>60</v>
      </c>
      <c r="H12" s="5" t="s">
        <v>72</v>
      </c>
      <c r="I12" s="5" t="s">
        <v>60</v>
      </c>
      <c r="J12" s="5" t="s">
        <v>72</v>
      </c>
    </row>
    <row r="13" spans="1:10" x14ac:dyDescent="0.35">
      <c r="A13">
        <v>11</v>
      </c>
      <c r="B13" s="2">
        <v>1.32</v>
      </c>
      <c r="C13" s="2">
        <v>16.8</v>
      </c>
      <c r="D13" s="2">
        <v>0.75600000000000001</v>
      </c>
      <c r="E13" s="5" t="s">
        <v>25</v>
      </c>
      <c r="F13" s="5" t="s">
        <v>47</v>
      </c>
      <c r="G13" s="5" t="s">
        <v>61</v>
      </c>
      <c r="H13" s="5" t="s">
        <v>73</v>
      </c>
      <c r="I13" s="5" t="s">
        <v>84</v>
      </c>
      <c r="J13" s="5" t="s">
        <v>87</v>
      </c>
    </row>
    <row r="14" spans="1:10" x14ac:dyDescent="0.35">
      <c r="A14">
        <v>12</v>
      </c>
      <c r="B14" s="2">
        <v>1.44</v>
      </c>
      <c r="C14" s="2">
        <v>15.9</v>
      </c>
      <c r="D14" s="2">
        <v>0.73199999999999998</v>
      </c>
      <c r="E14" s="5" t="s">
        <v>26</v>
      </c>
      <c r="F14" s="5" t="s">
        <v>48</v>
      </c>
      <c r="G14" s="5" t="s">
        <v>60</v>
      </c>
      <c r="H14" s="5" t="s">
        <v>74</v>
      </c>
      <c r="I14" s="5" t="s">
        <v>60</v>
      </c>
      <c r="J14" s="5" t="s">
        <v>74</v>
      </c>
    </row>
    <row r="15" spans="1:10" x14ac:dyDescent="0.35">
      <c r="A15">
        <v>13</v>
      </c>
      <c r="B15" s="2">
        <v>1.51</v>
      </c>
      <c r="C15" s="2">
        <v>15.9</v>
      </c>
      <c r="D15" s="2">
        <v>0.74</v>
      </c>
      <c r="E15" s="5" t="s">
        <v>26</v>
      </c>
      <c r="F15" s="5" t="s">
        <v>49</v>
      </c>
      <c r="G15" s="5" t="s">
        <v>60</v>
      </c>
      <c r="H15" s="5" t="s">
        <v>74</v>
      </c>
      <c r="I15" s="5" t="s">
        <v>60</v>
      </c>
      <c r="J15" s="5" t="s">
        <v>74</v>
      </c>
    </row>
    <row r="16" spans="1:10" x14ac:dyDescent="0.35">
      <c r="A16">
        <v>14</v>
      </c>
      <c r="B16" s="2">
        <v>2.3199999999999998</v>
      </c>
      <c r="C16" s="2">
        <v>18.399999999999999</v>
      </c>
      <c r="D16" s="2">
        <v>0.95299999999999996</v>
      </c>
      <c r="E16" s="5" t="s">
        <v>18</v>
      </c>
      <c r="F16" s="5" t="s">
        <v>49</v>
      </c>
      <c r="G16" s="5" t="s">
        <v>60</v>
      </c>
      <c r="H16" s="5" t="s">
        <v>75</v>
      </c>
      <c r="I16" s="5" t="s">
        <v>60</v>
      </c>
      <c r="J16" s="5" t="s">
        <v>75</v>
      </c>
    </row>
    <row r="17" spans="1:10" x14ac:dyDescent="0.35">
      <c r="A17">
        <v>15</v>
      </c>
      <c r="B17" s="2">
        <v>2.2799999999999998</v>
      </c>
      <c r="C17" s="2">
        <v>24.4</v>
      </c>
      <c r="D17" s="2">
        <v>1.1950000000000001</v>
      </c>
      <c r="E17" s="5" t="s">
        <v>27</v>
      </c>
      <c r="F17" s="5" t="s">
        <v>50</v>
      </c>
      <c r="G17" s="5" t="s">
        <v>61</v>
      </c>
      <c r="H17" s="5" t="s">
        <v>4</v>
      </c>
      <c r="I17" s="5" t="s">
        <v>84</v>
      </c>
      <c r="J17" s="5" t="s">
        <v>84</v>
      </c>
    </row>
    <row r="18" spans="1:10" x14ac:dyDescent="0.35">
      <c r="A18">
        <v>16</v>
      </c>
      <c r="B18" s="2">
        <v>1.64</v>
      </c>
      <c r="C18" s="2">
        <v>29.9</v>
      </c>
      <c r="D18" s="2">
        <v>1.34</v>
      </c>
      <c r="E18" s="5" t="s">
        <v>28</v>
      </c>
      <c r="F18" s="5" t="s">
        <v>19</v>
      </c>
      <c r="G18" s="5" t="s">
        <v>60</v>
      </c>
      <c r="H18" s="5" t="s">
        <v>76</v>
      </c>
      <c r="I18" s="5" t="s">
        <v>60</v>
      </c>
      <c r="J18" s="5" t="s">
        <v>76</v>
      </c>
    </row>
    <row r="19" spans="1:10" x14ac:dyDescent="0.35">
      <c r="A19">
        <v>17</v>
      </c>
      <c r="B19" s="2">
        <v>1.36</v>
      </c>
      <c r="C19" s="2">
        <v>33.5</v>
      </c>
      <c r="D19" s="2">
        <v>1.4530000000000001</v>
      </c>
      <c r="E19" s="5" t="s">
        <v>29</v>
      </c>
      <c r="F19" s="5" t="s">
        <v>51</v>
      </c>
      <c r="G19" s="5" t="s">
        <v>60</v>
      </c>
      <c r="H19" s="5" t="s">
        <v>77</v>
      </c>
      <c r="I19" s="5" t="s">
        <v>60</v>
      </c>
      <c r="J19" s="5" t="s">
        <v>77</v>
      </c>
    </row>
    <row r="20" spans="1:10" x14ac:dyDescent="0.35">
      <c r="A20">
        <v>18</v>
      </c>
      <c r="B20" s="2">
        <v>0.95</v>
      </c>
      <c r="C20" s="2">
        <v>35.700000000000003</v>
      </c>
      <c r="D20" s="2">
        <v>1.49</v>
      </c>
      <c r="E20" s="5" t="s">
        <v>30</v>
      </c>
      <c r="F20" s="5" t="s">
        <v>52</v>
      </c>
      <c r="G20" s="5" t="s">
        <v>60</v>
      </c>
      <c r="H20" s="5" t="s">
        <v>78</v>
      </c>
      <c r="I20" s="5" t="s">
        <v>60</v>
      </c>
      <c r="J20" s="5" t="s">
        <v>78</v>
      </c>
    </row>
    <row r="21" spans="1:10" x14ac:dyDescent="0.35">
      <c r="A21">
        <v>19</v>
      </c>
      <c r="B21" s="2">
        <v>0.9</v>
      </c>
      <c r="C21" s="2">
        <v>36.1</v>
      </c>
      <c r="D21" s="2">
        <v>1.49</v>
      </c>
      <c r="E21" s="5" t="s">
        <v>30</v>
      </c>
      <c r="F21" s="5" t="s">
        <v>53</v>
      </c>
      <c r="G21" s="5" t="s">
        <v>61</v>
      </c>
      <c r="H21" s="5" t="s">
        <v>79</v>
      </c>
      <c r="I21" s="5" t="s">
        <v>84</v>
      </c>
      <c r="J21" s="5" t="s">
        <v>88</v>
      </c>
    </row>
    <row r="22" spans="1:10" x14ac:dyDescent="0.35">
      <c r="A22">
        <v>20</v>
      </c>
      <c r="B22" s="2">
        <v>0.9</v>
      </c>
      <c r="C22" s="2">
        <v>35.799999999999997</v>
      </c>
      <c r="D22" s="2">
        <v>1.4850000000000001</v>
      </c>
      <c r="E22" s="5" t="s">
        <v>30</v>
      </c>
      <c r="F22" s="5" t="s">
        <v>54</v>
      </c>
      <c r="G22" s="5" t="s">
        <v>60</v>
      </c>
      <c r="H22" s="5" t="s">
        <v>78</v>
      </c>
      <c r="I22" s="5" t="s">
        <v>60</v>
      </c>
      <c r="J22" s="5" t="s">
        <v>78</v>
      </c>
    </row>
    <row r="23" spans="1:10" x14ac:dyDescent="0.35">
      <c r="A23">
        <v>21</v>
      </c>
      <c r="B23" s="2">
        <v>0.9</v>
      </c>
      <c r="C23" s="2">
        <v>35.799999999999997</v>
      </c>
      <c r="D23" s="2">
        <v>1.482</v>
      </c>
      <c r="E23" s="5" t="s">
        <v>30</v>
      </c>
      <c r="F23" s="5" t="s">
        <v>54</v>
      </c>
      <c r="G23" s="5" t="s">
        <v>60</v>
      </c>
      <c r="H23" s="5" t="s">
        <v>78</v>
      </c>
      <c r="I23" s="5" t="s">
        <v>60</v>
      </c>
      <c r="J23" s="5" t="s">
        <v>78</v>
      </c>
    </row>
    <row r="24" spans="1:10" x14ac:dyDescent="0.35">
      <c r="A24">
        <v>22</v>
      </c>
      <c r="B24" s="2">
        <v>0.9</v>
      </c>
      <c r="C24" s="2">
        <v>36</v>
      </c>
      <c r="D24" s="2">
        <v>1.496</v>
      </c>
      <c r="E24" s="5" t="s">
        <v>31</v>
      </c>
      <c r="F24" s="5" t="s">
        <v>55</v>
      </c>
      <c r="G24" s="5" t="s">
        <v>60</v>
      </c>
      <c r="H24" s="5" t="s">
        <v>61</v>
      </c>
      <c r="I24" s="5" t="s">
        <v>60</v>
      </c>
      <c r="J24" s="5" t="s">
        <v>61</v>
      </c>
    </row>
    <row r="25" spans="1:10" x14ac:dyDescent="0.35">
      <c r="A25">
        <v>23</v>
      </c>
      <c r="B25" s="2">
        <v>0.9</v>
      </c>
      <c r="C25" s="2">
        <v>36.4</v>
      </c>
      <c r="D25" s="2">
        <v>1.5089999999999999</v>
      </c>
      <c r="E25" s="5" t="s">
        <v>32</v>
      </c>
      <c r="F25" s="5" t="s">
        <v>53</v>
      </c>
      <c r="G25" s="5" t="s">
        <v>61</v>
      </c>
      <c r="H25" s="5" t="s">
        <v>80</v>
      </c>
      <c r="I25" s="5" t="s">
        <v>84</v>
      </c>
      <c r="J25" s="5" t="s">
        <v>72</v>
      </c>
    </row>
    <row r="26" spans="1:10" x14ac:dyDescent="0.35">
      <c r="A26">
        <v>24</v>
      </c>
      <c r="B26" s="2">
        <v>0.9</v>
      </c>
      <c r="C26" s="2">
        <v>36.700000000000003</v>
      </c>
      <c r="D26" s="2">
        <v>1.522</v>
      </c>
      <c r="E26" s="5" t="s">
        <v>33</v>
      </c>
      <c r="F26" s="5" t="s">
        <v>56</v>
      </c>
      <c r="G26" s="5" t="s">
        <v>60</v>
      </c>
      <c r="H26" s="5" t="s">
        <v>4</v>
      </c>
      <c r="I26" s="5" t="s">
        <v>60</v>
      </c>
      <c r="J26" s="5" t="s">
        <v>4</v>
      </c>
    </row>
    <row r="27" spans="1:10" x14ac:dyDescent="0.35">
      <c r="A27">
        <v>25</v>
      </c>
      <c r="B27" s="2">
        <v>0.9</v>
      </c>
      <c r="C27" s="2">
        <v>37</v>
      </c>
      <c r="D27" s="2">
        <v>1.532</v>
      </c>
      <c r="E27" s="5" t="s">
        <v>33</v>
      </c>
      <c r="F27" s="5" t="s">
        <v>57</v>
      </c>
      <c r="G27" s="5" t="s">
        <v>60</v>
      </c>
      <c r="H27" s="5" t="s">
        <v>5</v>
      </c>
      <c r="I27" s="5" t="s">
        <v>60</v>
      </c>
      <c r="J27" s="5" t="s">
        <v>5</v>
      </c>
    </row>
    <row r="28" spans="1:10" x14ac:dyDescent="0.35">
      <c r="A28">
        <v>26</v>
      </c>
      <c r="B28" s="2">
        <v>0.9</v>
      </c>
      <c r="C28" s="2">
        <v>37.200000000000003</v>
      </c>
      <c r="D28" s="2">
        <v>1.54</v>
      </c>
      <c r="E28" s="5" t="s">
        <v>34</v>
      </c>
      <c r="F28" s="5" t="s">
        <v>58</v>
      </c>
      <c r="G28" s="5" t="s">
        <v>60</v>
      </c>
      <c r="H28" s="5" t="s">
        <v>81</v>
      </c>
      <c r="I28" s="5" t="s">
        <v>60</v>
      </c>
      <c r="J28" s="5" t="s">
        <v>81</v>
      </c>
    </row>
    <row r="29" spans="1:10" x14ac:dyDescent="0.35">
      <c r="A29">
        <v>27</v>
      </c>
      <c r="B29" s="2">
        <v>0.9</v>
      </c>
      <c r="C29" s="2">
        <v>37.299999999999997</v>
      </c>
      <c r="D29" s="2">
        <v>1.546</v>
      </c>
      <c r="E29" s="5" t="s">
        <v>34</v>
      </c>
      <c r="F29" s="5" t="s">
        <v>58</v>
      </c>
      <c r="G29" s="5" t="s">
        <v>61</v>
      </c>
      <c r="H29" s="5" t="s">
        <v>82</v>
      </c>
      <c r="I29" s="5" t="s">
        <v>84</v>
      </c>
      <c r="J29" s="5" t="s">
        <v>75</v>
      </c>
    </row>
    <row r="30" spans="1:10" x14ac:dyDescent="0.35">
      <c r="A30">
        <v>28</v>
      </c>
      <c r="B30" s="2">
        <v>0.9</v>
      </c>
      <c r="C30" s="2">
        <v>37.5</v>
      </c>
      <c r="D30" s="2">
        <v>1.5529999999999999</v>
      </c>
      <c r="E30" s="5" t="s">
        <v>35</v>
      </c>
      <c r="F30" s="5" t="s">
        <v>28</v>
      </c>
      <c r="G30" s="5" t="s">
        <v>60</v>
      </c>
      <c r="H30" s="5" t="s">
        <v>83</v>
      </c>
      <c r="I30" s="5" t="s">
        <v>60</v>
      </c>
      <c r="J30" s="5" t="s">
        <v>83</v>
      </c>
    </row>
    <row r="31" spans="1:10" x14ac:dyDescent="0.35">
      <c r="A31">
        <v>29</v>
      </c>
      <c r="B31" s="2">
        <v>0.9</v>
      </c>
      <c r="C31" s="2">
        <v>37</v>
      </c>
      <c r="D31" s="2">
        <v>1.5529999999999999</v>
      </c>
      <c r="E31" s="5" t="s">
        <v>35</v>
      </c>
      <c r="F31" s="5" t="s">
        <v>53</v>
      </c>
      <c r="G31" s="5" t="s">
        <v>60</v>
      </c>
      <c r="H31" s="5" t="s">
        <v>5</v>
      </c>
      <c r="I31" s="5" t="s">
        <v>60</v>
      </c>
      <c r="J31" s="5" t="s">
        <v>5</v>
      </c>
    </row>
    <row r="33" spans="1:4" x14ac:dyDescent="0.35">
      <c r="A33" s="3" t="s">
        <v>100</v>
      </c>
      <c r="B33" s="3"/>
      <c r="C33" s="2" t="s">
        <v>99</v>
      </c>
      <c r="D33" s="2" t="s">
        <v>98</v>
      </c>
    </row>
    <row r="34" spans="1:4" x14ac:dyDescent="0.35">
      <c r="A34" s="3" t="s">
        <v>93</v>
      </c>
      <c r="B34" s="3"/>
      <c r="C34" s="1">
        <v>24</v>
      </c>
    </row>
    <row r="35" spans="1:4" x14ac:dyDescent="0.35">
      <c r="A35" s="3" t="s">
        <v>94</v>
      </c>
      <c r="B35" s="3"/>
      <c r="C35" t="s">
        <v>10</v>
      </c>
    </row>
    <row r="36" spans="1:4" x14ac:dyDescent="0.35">
      <c r="A36" s="4" t="s">
        <v>11</v>
      </c>
      <c r="B36" s="4"/>
      <c r="C36" t="s">
        <v>12</v>
      </c>
    </row>
    <row r="37" spans="1:4" x14ac:dyDescent="0.35">
      <c r="A37" s="3" t="s">
        <v>92</v>
      </c>
      <c r="B37" s="3"/>
      <c r="C37" s="1">
        <v>390</v>
      </c>
    </row>
    <row r="38" spans="1:4" x14ac:dyDescent="0.35">
      <c r="A38" s="3" t="s">
        <v>91</v>
      </c>
      <c r="B38" s="3"/>
      <c r="C38" s="1">
        <v>437.1</v>
      </c>
    </row>
    <row r="39" spans="1:4" x14ac:dyDescent="0.35">
      <c r="A39" s="3" t="s">
        <v>95</v>
      </c>
      <c r="B39" s="3"/>
      <c r="C39" s="1">
        <f>(C38/144)*1</f>
        <v>3.0354166666666669</v>
      </c>
    </row>
    <row r="40" spans="1:4" x14ac:dyDescent="0.35">
      <c r="A40" s="3" t="s">
        <v>90</v>
      </c>
      <c r="B40" s="3"/>
      <c r="C40" s="1">
        <v>306</v>
      </c>
    </row>
    <row r="41" spans="1:4" x14ac:dyDescent="0.35">
      <c r="A41" s="3" t="s">
        <v>89</v>
      </c>
      <c r="B41" s="3"/>
      <c r="C41" s="1">
        <v>341.8</v>
      </c>
    </row>
    <row r="42" spans="1:4" x14ac:dyDescent="0.35">
      <c r="A42" s="3" t="s">
        <v>96</v>
      </c>
      <c r="B42" s="3"/>
      <c r="C42" s="1">
        <f>(C41/144)*1</f>
        <v>2.3736111111111113</v>
      </c>
    </row>
    <row r="43" spans="1:4" x14ac:dyDescent="0.35">
      <c r="A43" s="3" t="s">
        <v>97</v>
      </c>
      <c r="B43" s="3"/>
      <c r="C43" s="1">
        <f>29*24</f>
        <v>696</v>
      </c>
    </row>
  </sheetData>
  <mergeCells count="11">
    <mergeCell ref="A35:B35"/>
    <mergeCell ref="A33:B33"/>
    <mergeCell ref="A34:B34"/>
    <mergeCell ref="A43:B43"/>
    <mergeCell ref="A42:B42"/>
    <mergeCell ref="A41:B41"/>
    <mergeCell ref="A40:B40"/>
    <mergeCell ref="A39:B39"/>
    <mergeCell ref="A38:B38"/>
    <mergeCell ref="A37:B37"/>
    <mergeCell ref="A36:B36"/>
  </mergeCells>
  <printOptions gridLines="1"/>
  <pageMargins left="0.7" right="0.7" top="0.75" bottom="0.75" header="0.3" footer="0.3"/>
  <pageSetup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cp:lastPrinted>2021-09-22T23:41:01Z</cp:lastPrinted>
  <dcterms:modified xsi:type="dcterms:W3CDTF">2021-09-23T01:58:55Z</dcterms:modified>
</cp:coreProperties>
</file>